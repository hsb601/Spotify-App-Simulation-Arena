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CE8D,haseeb javed, 129\(CE-407) Simulation Modeling\Project\"/>
    </mc:Choice>
  </mc:AlternateContent>
  <bookViews>
    <workbookView xWindow="0" yWindow="60" windowWidth="23040" windowHeight="11070" tabRatio="790" firstSheet="2" activeTab="2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</definedName>
    <definedName name="ExternalData_1" localSheetId="4" hidden="1">CounterStatsByRep!$A$1:$G$2</definedName>
    <definedName name="ExternalData_1" localSheetId="2" hidden="1">DiscreteTimeStatsByRep!$A$1:$K$13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52511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4" i="20" s="1" a="1"/>
  <c r="K4" i="20" s="1"/>
  <c r="I4" i="20"/>
  <c r="I5" i="20"/>
  <c r="K6" i="20" s="1" a="1"/>
  <c r="K6" i="20" s="1"/>
  <c r="I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K5" i="20" a="1"/>
  <c r="K5" i="20" s="1"/>
  <c r="L4" i="20" a="1"/>
  <c r="L4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M2" i="18"/>
  <c r="M3" i="18"/>
  <c r="N2" i="18" a="1"/>
  <c r="N2" i="18" s="1"/>
  <c r="N3" i="18" a="1"/>
  <c r="N3" i="18" s="1"/>
  <c r="O2" i="18" a="1"/>
  <c r="O2" i="18" s="1"/>
  <c r="O3" i="18" a="1"/>
  <c r="O3" i="18" s="1"/>
  <c r="P2" i="18" a="1"/>
  <c r="P2" i="18" s="1"/>
  <c r="P3" i="18" a="1"/>
  <c r="P3" i="18" s="1"/>
  <c r="Q2" i="18" a="1"/>
  <c r="Q2" i="18" s="1"/>
  <c r="Q3" i="18" a="1"/>
  <c r="Q3" i="18" s="1"/>
  <c r="S2" i="18" a="1"/>
  <c r="S2" i="18" s="1"/>
  <c r="S3" i="18" a="1"/>
  <c r="S3" i="18" s="1"/>
  <c r="T2" i="18" a="1"/>
  <c r="T2" i="18" s="1"/>
  <c r="T3" i="18" a="1"/>
  <c r="T3" i="18" s="1"/>
  <c r="L2" i="17"/>
  <c r="L3" i="17"/>
  <c r="L4" i="17"/>
  <c r="L5" i="17"/>
  <c r="L6" i="17"/>
  <c r="L7" i="17"/>
  <c r="L8" i="17"/>
  <c r="N5" i="17" s="1" a="1"/>
  <c r="N5" i="17" s="1"/>
  <c r="L9" i="17"/>
  <c r="L10" i="17"/>
  <c r="L11" i="17"/>
  <c r="L12" i="17"/>
  <c r="L13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N13" i="17" a="1"/>
  <c r="N13" i="17" s="1"/>
  <c r="O9" i="17" a="1"/>
  <c r="O9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R5" i="17" a="1"/>
  <c r="R5" i="17" s="1"/>
  <c r="R9" i="17" a="1"/>
  <c r="R9" i="17" s="1"/>
  <c r="R13" i="17" a="1"/>
  <c r="R13" i="17" s="1"/>
  <c r="S5" i="17" a="1"/>
  <c r="S5" i="17" s="1"/>
  <c r="S9" i="17" a="1"/>
  <c r="S9" i="17" s="1"/>
  <c r="S13" i="17" a="1"/>
  <c r="S13" i="17" s="1"/>
  <c r="T5" i="17" a="1"/>
  <c r="T5" i="17" s="1"/>
  <c r="T9" i="17" a="1"/>
  <c r="T9" i="17" s="1"/>
  <c r="T13" i="17" a="1"/>
  <c r="T13" i="17" s="1"/>
  <c r="U5" i="17" a="1"/>
  <c r="U5" i="17" s="1"/>
  <c r="U9" i="17" a="1"/>
  <c r="U9" i="17" s="1"/>
  <c r="U13" i="17" a="1"/>
  <c r="U13" i="17" s="1"/>
  <c r="V5" i="17" a="1"/>
  <c r="V5" i="17" s="1"/>
  <c r="V9" i="17" a="1"/>
  <c r="V9" i="17" s="1"/>
  <c r="V13" i="17" a="1"/>
  <c r="V13" i="17" s="1"/>
  <c r="X5" i="17" a="1"/>
  <c r="X5" i="17" s="1"/>
  <c r="X9" i="17" a="1"/>
  <c r="X9" i="17" s="1"/>
  <c r="X13" i="17" a="1"/>
  <c r="X13" i="17" s="1"/>
  <c r="G2" i="16"/>
  <c r="L3" i="20" l="1" a="1"/>
  <c r="L3" i="20" s="1"/>
  <c r="N3" i="20" s="1"/>
  <c r="L6" i="20" a="1"/>
  <c r="L6" i="20" s="1"/>
  <c r="L2" i="20" a="1"/>
  <c r="L2" i="20" s="1"/>
  <c r="N2" i="20" s="1"/>
  <c r="N4" i="20"/>
  <c r="L5" i="20" a="1"/>
  <c r="L5" i="20" s="1"/>
  <c r="K3" i="20" a="1"/>
  <c r="K3" i="20" s="1"/>
  <c r="K2" i="20" a="1"/>
  <c r="K2" i="20" s="1"/>
  <c r="N5" i="20"/>
  <c r="N6" i="20"/>
  <c r="U3" i="18"/>
  <c r="R3" i="18"/>
  <c r="R2" i="18"/>
  <c r="U2" i="18"/>
  <c r="O5" i="17" a="1"/>
  <c r="O5" i="17" s="1"/>
  <c r="N8" i="17" a="1"/>
  <c r="N8" i="17" s="1"/>
  <c r="N2" i="17" a="1"/>
  <c r="N2" i="17" s="1"/>
  <c r="O13" i="17" a="1"/>
  <c r="O13" i="17" s="1"/>
  <c r="N9" i="17" a="1"/>
  <c r="N9" i="17" s="1"/>
  <c r="X8" i="17" a="1"/>
  <c r="X8" i="17" s="1"/>
  <c r="V8" i="17" a="1"/>
  <c r="V8" i="17" s="1"/>
  <c r="V12" i="17" a="1"/>
  <c r="V12" i="17" s="1"/>
  <c r="R4" i="17" a="1"/>
  <c r="R4" i="17" s="1"/>
  <c r="O8" i="17" a="1"/>
  <c r="O8" i="17" s="1"/>
  <c r="N4" i="17" a="1"/>
  <c r="N4" i="17" s="1"/>
  <c r="X11" i="17" a="1"/>
  <c r="X11" i="17" s="1"/>
  <c r="X7" i="17" a="1"/>
  <c r="X7" i="17" s="1"/>
  <c r="X3" i="17" a="1"/>
  <c r="X3" i="17" s="1"/>
  <c r="V11" i="17" a="1"/>
  <c r="V11" i="17" s="1"/>
  <c r="V7" i="17" a="1"/>
  <c r="V7" i="17" s="1"/>
  <c r="V3" i="17" a="1"/>
  <c r="V3" i="17" s="1"/>
  <c r="U11" i="17" a="1"/>
  <c r="U11" i="17" s="1"/>
  <c r="U7" i="17" a="1"/>
  <c r="U7" i="17" s="1"/>
  <c r="U3" i="17" a="1"/>
  <c r="U3" i="17" s="1"/>
  <c r="T11" i="17" a="1"/>
  <c r="T11" i="17" s="1"/>
  <c r="T7" i="17" a="1"/>
  <c r="T7" i="17" s="1"/>
  <c r="T3" i="17" a="1"/>
  <c r="T3" i="17" s="1"/>
  <c r="S11" i="17" a="1"/>
  <c r="S11" i="17" s="1"/>
  <c r="S7" i="17" a="1"/>
  <c r="S7" i="17" s="1"/>
  <c r="S3" i="17" a="1"/>
  <c r="S3" i="17" s="1"/>
  <c r="R11" i="17" a="1"/>
  <c r="R11" i="17" s="1"/>
  <c r="R7" i="17" a="1"/>
  <c r="R7" i="17" s="1"/>
  <c r="R3" i="17" a="1"/>
  <c r="R3" i="17" s="1"/>
  <c r="O11" i="17" a="1"/>
  <c r="O11" i="17" s="1"/>
  <c r="O7" i="17" a="1"/>
  <c r="O7" i="17" s="1"/>
  <c r="O3" i="17" a="1"/>
  <c r="O3" i="17" s="1"/>
  <c r="N11" i="17" a="1"/>
  <c r="N11" i="17" s="1"/>
  <c r="N7" i="17" a="1"/>
  <c r="N7" i="17" s="1"/>
  <c r="N3" i="17" a="1"/>
  <c r="N3" i="17" s="1"/>
  <c r="X12" i="17" a="1"/>
  <c r="X12" i="17" s="1"/>
  <c r="X4" i="17" a="1"/>
  <c r="X4" i="17" s="1"/>
  <c r="V4" i="17" a="1"/>
  <c r="V4" i="17" s="1"/>
  <c r="U12" i="17" a="1"/>
  <c r="U12" i="17" s="1"/>
  <c r="U8" i="17" a="1"/>
  <c r="U8" i="17" s="1"/>
  <c r="U4" i="17" a="1"/>
  <c r="U4" i="17" s="1"/>
  <c r="T12" i="17" a="1"/>
  <c r="T12" i="17" s="1"/>
  <c r="T8" i="17" a="1"/>
  <c r="T8" i="17" s="1"/>
  <c r="T4" i="17" a="1"/>
  <c r="T4" i="17" s="1"/>
  <c r="S12" i="17" a="1"/>
  <c r="S12" i="17" s="1"/>
  <c r="S8" i="17" a="1"/>
  <c r="S8" i="17" s="1"/>
  <c r="S4" i="17" a="1"/>
  <c r="S4" i="17" s="1"/>
  <c r="R12" i="17" a="1"/>
  <c r="R12" i="17" s="1"/>
  <c r="R8" i="17" a="1"/>
  <c r="R8" i="17" s="1"/>
  <c r="O12" i="17" a="1"/>
  <c r="O12" i="17" s="1"/>
  <c r="O4" i="17" a="1"/>
  <c r="O4" i="17" s="1"/>
  <c r="N12" i="17" a="1"/>
  <c r="N12" i="17" s="1"/>
  <c r="X10" i="17" a="1"/>
  <c r="X10" i="17" s="1"/>
  <c r="X6" i="17" a="1"/>
  <c r="X6" i="17" s="1"/>
  <c r="X2" i="17" a="1"/>
  <c r="X2" i="17" s="1"/>
  <c r="V10" i="17" a="1"/>
  <c r="V10" i="17" s="1"/>
  <c r="V6" i="17" a="1"/>
  <c r="V6" i="17" s="1"/>
  <c r="V2" i="17" a="1"/>
  <c r="V2" i="17" s="1"/>
  <c r="U10" i="17" a="1"/>
  <c r="U10" i="17" s="1"/>
  <c r="U6" i="17" a="1"/>
  <c r="U6" i="17" s="1"/>
  <c r="U2" i="17" a="1"/>
  <c r="U2" i="17" s="1"/>
  <c r="T10" i="17" a="1"/>
  <c r="T10" i="17" s="1"/>
  <c r="T6" i="17" a="1"/>
  <c r="T6" i="17" s="1"/>
  <c r="T2" i="17" a="1"/>
  <c r="T2" i="17" s="1"/>
  <c r="S10" i="17" a="1"/>
  <c r="S10" i="17" s="1"/>
  <c r="S6" i="17" a="1"/>
  <c r="S6" i="17" s="1"/>
  <c r="S2" i="17" a="1"/>
  <c r="S2" i="17" s="1"/>
  <c r="R10" i="17" a="1"/>
  <c r="R10" i="17" s="1"/>
  <c r="R6" i="17" a="1"/>
  <c r="R6" i="17" s="1"/>
  <c r="R2" i="17" a="1"/>
  <c r="R2" i="17" s="1"/>
  <c r="O10" i="17" a="1"/>
  <c r="O10" i="17" s="1"/>
  <c r="O6" i="17" a="1"/>
  <c r="O6" i="17" s="1"/>
  <c r="O2" i="17" a="1"/>
  <c r="O2" i="17" s="1"/>
  <c r="N10" i="17" a="1"/>
  <c r="N10" i="17" s="1"/>
  <c r="N6" i="17" a="1"/>
  <c r="N6" i="17" s="1"/>
  <c r="W10" i="17"/>
  <c r="Y10" i="17"/>
  <c r="Q10" i="17" s="1"/>
  <c r="W6" i="17"/>
  <c r="Y6" i="17"/>
  <c r="Q6" i="17" s="1"/>
  <c r="W2" i="17"/>
  <c r="Y2" i="17"/>
  <c r="Q2" i="17" s="1"/>
  <c r="W13" i="17"/>
  <c r="Y13" i="17"/>
  <c r="Q13" i="17" s="1"/>
  <c r="W9" i="17"/>
  <c r="Y9" i="17"/>
  <c r="Q9" i="17" s="1"/>
  <c r="W5" i="17"/>
  <c r="Y5" i="17"/>
  <c r="Q5" i="17" s="1"/>
  <c r="W12" i="17"/>
  <c r="Y12" i="17"/>
  <c r="Q12" i="17" s="1"/>
  <c r="W8" i="17"/>
  <c r="Y8" i="17"/>
  <c r="Q8" i="17" s="1"/>
  <c r="W4" i="17"/>
  <c r="Y4" i="17"/>
  <c r="Q4" i="17" s="1"/>
  <c r="W11" i="17"/>
  <c r="Y11" i="17"/>
  <c r="Q11" i="17" s="1"/>
  <c r="W7" i="17"/>
  <c r="Y7" i="17"/>
  <c r="Q7" i="17" s="1"/>
  <c r="W3" i="17"/>
  <c r="Y3" i="17"/>
  <c r="Q3" i="17" s="1"/>
</calcChain>
</file>

<file path=xl/connections.xml><?xml version="1.0" encoding="utf-8"?>
<connections xmlns="http://schemas.openxmlformats.org/spreadsheetml/2006/main">
  <connection id="1" name="Connection" type="1" refreshedVersion="5" saveData="1">
    <dbPr connection="Driver={SQLite3 ODBC Driver};Database=c:\users\pcs\downloads\inventory analysis.db;StepAPI=;SyncPragma=;NoTXN=;Timeout=;ShortNames=;LongNames=;NoCreat=;NoWCHAR=;FKSupport=;JournalMode=;OEMCP=;LoadExt=;BigInt=;JDConv=;" command="select * from FrequencyStatsQuery"/>
  </connection>
  <connection id="2" name="Connection1" type="1" refreshedVersion="5" saveData="1">
    <dbPr connection="Driver={SQLite3 ODBC Driver};Database=c:\users\pcs\downloads\inventory analysis.db;StepAPI=;SyncPragma=;NoTXN=;Timeout=;ShortNames=;LongNames=;NoCreat=;NoWCHAR=;FKSupport=;JournalMode=;OEMCP=;LoadExt=;BigInt=;JDConv=;" command="select * from ProjectQuery"/>
  </connection>
  <connection id="3" name="Connection2" type="1" refreshedVersion="5" saveData="1">
    <dbPr connection="Driver={SQLite3 ODBC Driver};Database=c:\users\pcs\downloads\inventory analysis.db;StepAPI=;SyncPragma=;NoTXN=;Timeout=;ShortNames=;LongNames=;NoCreat=;NoWCHAR=;FKSupport=;JournalMode=;OEMCP=;LoadExt=;BigInt=;JDConv=;" command="select * from DiscreteTimeStatsQuery"/>
  </connection>
  <connection id="4" name="Connection3" type="1" refreshedVersion="5" saveData="1">
    <dbPr connection="Driver={SQLite3 ODBC Driver};Database=c:\users\pcs\downloads\inventory analysis.db;StepAPI=;SyncPragma=;NoTXN=;Timeout=;ShortNames=;LongNames=;NoCreat=;NoWCHAR=;FKSupport=;JournalMode=;OEMCP=;LoadExt=;BigInt=;JDConv=;" command="select * from ContinuousTimeStatsQuery"/>
  </connection>
  <connection id="5" name="Connection4" type="1" refreshedVersion="5" saveData="1">
    <dbPr connection="Driver={SQLite3 ODBC Driver};Database=c:\users\pcs\downloads\inventory analysis.db;StepAPI=;SyncPragma=;NoTXN=;Timeout=;ShortNames=;LongNames=;NoCreat=;NoWCHAR=;FKSupport=;JournalMode=;OEMCP=;LoadExt=;BigInt=;JDConv=;" command="select * from CounterStatsQuery"/>
  </connection>
  <connection id="6" name="Connection5" type="1" refreshedVersion="5" saveData="1">
    <dbPr connection="Driver={SQLite3 ODBC Driver};Database=c:\users\pcs\downloads\inventory analysis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<sst xmlns="http://schemas.openxmlformats.org/spreadsheetml/2006/main" count="310" uniqueCount="89">
  <si>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</si>
  <si>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</si>
  <si>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</si>
  <si>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</si>
  <si>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</si>
  <si>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</si>
  <si>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</si>
  <si>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</si>
  <si>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</si>
  <si>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</si>
  <si>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</si>
  <si>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</si>
  <si>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</si>
  <si>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</si>
  <si>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</si>
  <si>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</si>
  <si>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</si>
  <si>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</si>
  <si>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</si>
  <si>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</si>
  <si>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</si>
  <si>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</si>
  <si>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</si>
  <si>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</si>
  <si>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</si>
  <si>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</si>
  <si>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</si>
  <si>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</si>
  <si>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</si>
  <si>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</si>
  <si>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</si>
  <si>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</si>
  <si>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</si>
  <si>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</si>
  <si>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</si>
  <si>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</si>
  <si>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</si>
  <si>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</si>
  <si>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</si>
  <si>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</si>
  <si>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</si>
  <si>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</si>
  <si>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</si>
  <si>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</si>
  <si>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</si>
  <si>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</si>
  <si>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</si>
  <si>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</si>
  <si>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</si>
  <si>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</si>
  <si>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</si>
  <si>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</si>
  <si>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</si>
  <si>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</si>
  <si>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</si>
  <si>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</si>
  <si>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</si>
  <si>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</si>
  <si>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</si>
  <si>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</si>
  <si>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</si>
  <si>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</si>
  <si>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</si>
  <si>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</si>
  <si>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</si>
  <si>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</si>
  <si>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</si>
  <si>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</si>
  <si>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</si>
  <si>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C:\Users\PCS\Downloads\Inventory Analysis.p</t>
  </si>
  <si>
    <t>2024-01-08 15:24:57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</si>
  <si>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</si>
  <si>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</si>
  <si>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</si>
  <si>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</si>
  <si>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</si>
  <si>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</si>
  <si>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</si>
  <si>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</si>
  <si>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Inventory Evaluator</t>
  </si>
  <si>
    <t>WIP</t>
  </si>
  <si>
    <t>Customer.NumberIn</t>
  </si>
  <si>
    <t>Number In</t>
  </si>
  <si>
    <t>Customer.NumberOut</t>
  </si>
  <si>
    <t>Number Out</t>
  </si>
  <si>
    <t>Inventory Evaluator.NumberIn</t>
  </si>
  <si>
    <t>Inventory Evaluator.NumberOut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</si>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</sst>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6"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S" refreshedDate="45299.642517245367" createdVersion="7" refreshedVersion="5" minRefreshableVersion="3" recordCount="12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ustomer"/>
        <s v="Inventory Evaluator"/>
        <m u="1"/>
        <s v="Match 4.Queue1" u="1"/>
        <s v="Processing Post 3.Queue" u="1"/>
        <s v="Peptone LS Bin Blender 6.Queue" u="1"/>
        <s v="Weighroom 4.Queue" u="1"/>
        <s v="Load Mill 14.Queue" u="1"/>
        <s v="e_batch" u="1"/>
        <s v="Match 2.Queue2" u="1"/>
        <s v="Match 5.Queue1" u="1"/>
        <s v="Load Mill 5.Queue" u="1"/>
        <s v="CIP V Blender 3.Queue" u="1"/>
        <s v="CIP Large Pin.Queue" u="1"/>
        <s v="Process Part Type 2 on Prep2.Queue" u="1"/>
        <s v="Match 13.Queue1" u="1"/>
        <s v="DPM SS Bin Blender 3.Queue" u="1"/>
        <s v="Match 3.Queue2" u="1"/>
        <s v="Match 6.Queue1" u="1"/>
        <s v="Weighroom 5.Queue" u="1"/>
        <s v="Seize shared resource.Queue" u="1"/>
        <s v="Part Type 1" u="1"/>
        <s v="Peptone LS Bin Blender 5.Queue" u="1"/>
        <s v="Match 4.Queue2" u="1"/>
        <s v="Match 7.Queue1" u="1"/>
        <s v="Manual.Queue" u="1"/>
        <s v="Tub Cleaning.Queue" u="1"/>
        <s v="CIP V Blender 8.Queue" u="1"/>
        <s v="Match 5.Queue2" u="1"/>
        <s v="Weighroom.Queue" u="1"/>
        <s v="Weighroom 6.Queue" u="1"/>
        <s v="Load Mill 16.Queue" u="1"/>
        <s v="Processing Post 2.Queue" u="1"/>
        <s v="Tally 1" u="1"/>
        <s v="Peca" u="1"/>
        <s v="Part Type 2" u="1"/>
        <s v="Match 6.Queue2" u="1"/>
        <s v="Match 9.Queue1" u="1"/>
        <s v="Load Mill 7.Queue" u="1"/>
        <s v="CIP V Blender 4.Queue" u="1"/>
        <s v="Peptone LS Bin Blender 4.Queue" u="1"/>
        <s v="Peptone SS Bin Blender 4.Queue" u="1"/>
        <s v="Match 13.Queue2" u="1"/>
        <s v="Match 7.Queue2" u="1"/>
        <s v="Servo CIP.Queue" u="1"/>
        <s v="Weighroom 7.Queue" u="1"/>
        <s v="Load Mill.Queue" u="1"/>
        <s v="ABFL.Queue" u="1"/>
        <s v="Seize Machine And Operator.Queue" u="1"/>
        <s v="Process Part Type 1 on Prep1.Queue" u="1"/>
        <s v="Load Mill 8.Queue" u="1"/>
        <s v="Load Mill 13.Queue" u="1"/>
        <s v="Entity 1" u="1"/>
        <s v="Match 9.Queue2" u="1"/>
        <s v="Weighroom 8.Queue" u="1"/>
        <s v="Peptone SS Bin Blender 3.Queue" u="1"/>
        <s v="Tub Cleaning" u="1"/>
        <s v="Processing Post 1.Queue" u="1"/>
        <s v="Match 11.Queue1" u="1"/>
        <s v="Process Part Type 2 on Prep2" u="1"/>
        <s v="Peptone LS Bin Blender.Queue" u="1"/>
        <s v="Peptone SS Bin Blender.Queue" u="1"/>
        <s v="Seize 40.Queue" u="1"/>
        <s v="Load Mill 9.Queue" u="1"/>
        <s v="DPM SS Bin Blender 4.Queue" u="1"/>
        <s v="Seize Pin Mill Weigh Room.Queue" u="1"/>
        <s v="Production Time" u="1"/>
        <s v="Process Packaging.Queue" u="1"/>
        <s v="CIP Large Fitz.Queue" u="1"/>
        <s v="Seize Operator.Queue" u="1"/>
        <s v="Load Mill 10.Queue" u="1"/>
        <s v="DPM SS Bin Blender.Queue" u="1"/>
        <s v="Peptone LS Bin Blender 2.Queue" u="1"/>
        <s v="Peptone SS Bin Blender 2.Queue" u="1"/>
        <s v="Load Mill 15.Queue" u="1"/>
        <s v="E 1" u="1"/>
        <s v="Peptone LS V Blender 2.Queue" u="1"/>
        <s v="E 2" u="1"/>
        <s v="Process Packaging" u="1"/>
        <s v="Peptone LS V Blender 3.Queue" u="1"/>
        <s v="Servo.Queue" u="1"/>
        <s v="Match 11.Queue2" u="1"/>
        <s v="Load Mill 2.Queue" u="1"/>
        <s v="Record Cycle Time" u="1"/>
        <s v="Processing Post 4.Queue" u="1"/>
        <s v="Peptone LS V Blender.Queue" u="1"/>
        <s v="Weighroom 2.Queue" u="1"/>
        <s v="Peptone LS V Blender 7.Queue" u="1"/>
        <s v="Process Part Type 1 on Prep1" u="1"/>
        <s v="Load Mill 12.Queue" u="1"/>
        <s v="CIP V Blender.Queue" u="1"/>
        <s v="Seize LS V Blender 8.Queue" u="1"/>
        <s v="Load Mill 3.Queue" u="1"/>
        <s v="CIP V Blender 2.Queue" u="1"/>
        <s v="Enter the Belt.Queue" u="1"/>
        <s v="Match 2.Queue1" u="1"/>
        <s v="Seize Fitz Mill Weigh Room.Queue" u="1"/>
        <s v="Weighroom 3.Queue" u="1"/>
        <s v="Match 3.Queue1" u="1"/>
        <s v="Seize Bin Blender.Queue" u="1"/>
        <s v="Load Mill 4.Queue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Wait Time Per Entity" u="1"/>
        <s v="Waiting Time" u="1"/>
        <s v="VA Time Per Entity" u="1"/>
        <s v="Interval" u="1"/>
        <s v="Total Time Per Entity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0.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1"/>
    </cacheField>
    <cacheField name="NumberObservations" numFmtId="0">
      <sharedItems containsSemiMixedTypes="0" containsString="0" containsNumber="1" containsInteger="1" minValue="100" maxValue="1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02"/>
    </cacheField>
    <cacheField name="MaximumAverage" numFmtId="0">
      <sharedItems containsSemiMixedTypes="0" containsString="0" containsNumber="1" minValue="0" maxValue="0.0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containsInteger="1" minValue="0" maxValue="1"/>
    </cacheField>
    <cacheField name="AverageNumberObservations" numFmtId="0">
      <sharedItems containsSemiMixedTypes="0" containsString="0" containsNumber="1" containsInteger="1" minValue="100" maxValue="10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CS" refreshedDate="45299.642517592591" createdVersion="7" refreshedVersion="5" minRefreshableVersion="3" recordCount="5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ustomer.NumberIn"/>
        <s v="Customer.NumberOut"/>
        <s v="Inventory Evaluator.NumberIn"/>
        <s v="Inventory Evaluator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r_largefitzmill.NumberSeized" u="1"/>
        <s v="r_smallfitzmill.NumberSeized" u="1"/>
        <s v="r Prep1.NumberSeized" u="1"/>
        <s v="r Prep2.NumberSeized" u="1"/>
        <s v="Machine.ScheduledUtilization" u="1"/>
        <s v="Packaging Machine.ScheduledUtilization" u="1"/>
        <s v="E 1.NumberOut" u="1"/>
        <s v="Peca.NumberOut" u="1"/>
        <s v="r_vblender.ScheduledUtilization" u="1"/>
        <s v="Process Packaging Accum Wait Time" u="1"/>
        <s v="E 2.NumberOut" u="1"/>
        <s v="r_CIP.ScheduledUtilization" u="1"/>
        <s v="r_CIP.NumberSeized" u="1"/>
        <s v="Resource 1.ScheduledUtilization" u="1"/>
        <s v="Part Type 1.NumberOut" u="1"/>
        <s v="Part Type 2.NumberOut" u="1"/>
        <s v="E 1.NumberIn" u="1"/>
        <s v="e_batch.NumberIn" u="1"/>
        <s v="Part Type 1.NumberIn" u="1"/>
        <s v="Part Type 2.NumberIn" u="1"/>
        <s v="E 2.Number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Process Part Type 1 on Prep1 Accum VA Time" u="1"/>
        <s v="Process Part Type 2 on Prep2 Accum VA Time" u="1"/>
        <s v="r_largepinmill.NumberSeized" u="1"/>
        <s v="Process Part Type 1 on Prep1 Number Out" u="1"/>
        <s v="Process Part Type 2 on Prep2 Number Out" u="1"/>
        <s v="Process Part Type 1 on Prep1 Accum Wait Time" u="1"/>
        <s v="Process Part Type 2 on Prep2 Accum Wait Time" u="1"/>
        <s v="r_smallpinmill.NumberSeized" u="1"/>
        <s v="Machine.NumberSeized" u="1"/>
        <s v="Process Part Type 1 on Prep1 Number In" u="1"/>
        <s v="Process Part Type 2 on Prep2 Number In" u="1"/>
        <s v="r_vblender.NumberSeized" u="1"/>
        <s v="r Shared.ScheduledUtilization" u="1"/>
        <s v="Resource 1.NumberSeized" u="1"/>
        <s v="Tub Cleaning Accum Wait Time" u="1"/>
        <s v="Packaging Machine.NumberSeized" u="1"/>
        <s v="Operator.ScheduledUtilization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Number Out" u="1"/>
        <s v="r Shared.NumberSeized" u="1"/>
        <s v="Peca.NumberIn" u="1"/>
        <s v="Entity 1.NumberIn" u="1"/>
        <s v="Operator.NumberSeized" u="1"/>
        <s v="r_largepinmill.ScheduledUtilization" u="1"/>
        <s v="r_binblender.NumberSeized" u="1"/>
        <s v="r Prep1.ScheduledUtilization" u="1"/>
        <s v="r Prep2.ScheduledUtilization" u="1"/>
        <s v="r_smallpinmill.ScheduledUtilization" u="1"/>
        <s v="e_batch.NumberOut" u="1"/>
        <s v="r_binblender.ScheduledUtilization" u="1"/>
        <s v="Entity 1.NumberOut" u="1"/>
        <s v="Tub Cleaning Number Out" u="1"/>
        <s v="Process Packaging Number In" u="1"/>
        <s v="Tub Cleaning Accum VA Time" u="1"/>
        <s v="r_operator.NumberSeized" u="1"/>
        <s v="Process Packaging Accum VA Time" u="1"/>
        <s v="Tub Cleaning Number In" u="1"/>
      </sharedItems>
    </cacheField>
    <cacheField name="Type" numFmtId="0">
      <sharedItems containsBlank="1" count="7">
        <s v="Number In"/>
        <s v="Number Out"/>
        <m u="1"/>
        <s v="Scheduled Utilization" u="1"/>
        <s v="Accum VA Time" u="1"/>
        <s v="Total Number Seized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00" maxValue="2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00" maxValue="2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00" maxValue="200"/>
    </cacheField>
    <cacheField name="Maximum" numFmtId="0">
      <sharedItems containsSemiMixedTypes="0" containsString="0" containsNumber="1" containsInteger="1" minValue="10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CS" refreshedDate="45299.642517939814" createdVersion="7" refreshedVersion="5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 Products" u="1"/>
        <s v="Counter 2" u="1"/>
        <s v="Counter 1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CS" refreshedDate="45299.642518171298" createdVersion="7" refreshedVersion="5" minRefreshableVersion="3" recordCount="2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6">
        <s v="Customer"/>
        <s v="Inventory Evaluator"/>
        <m u="1"/>
        <s v="Match 4.Queue1" u="1"/>
        <s v="Processing Post 3.Queue" u="1"/>
        <s v="Peptone LS Bin Blender 6.Queue" u="1"/>
        <s v="Weighroom 4.Queue" u="1"/>
        <s v="Load Mill 14.Queue" u="1"/>
        <s v="e_batch" u="1"/>
        <s v="Match 2.Queue2" u="1"/>
        <s v="Match 5.Queue1" u="1"/>
        <s v="r_largepinmill" u="1"/>
        <s v="Load Mill 5.Queue" u="1"/>
        <s v="CIP V Blender 3.Queue" u="1"/>
        <s v="CIP Large Pin.Queue" u="1"/>
        <s v="Process Part Type 2 on Prep2.Queue" u="1"/>
        <s v="Match 13.Queue1" u="1"/>
        <s v="DPM SS Bin Blender 3.Queue" u="1"/>
        <s v="Match 3.Queue2" u="1"/>
        <s v="Match 6.Queue1" u="1"/>
        <s v="Weighroom 5.Queue" u="1"/>
        <s v="Seize shared resource.Queue" u="1"/>
        <s v="Machine" u="1"/>
        <s v="Part Type 1" u="1"/>
        <s v="Peptone LS Bin Blender 5.Queue" u="1"/>
        <s v="Resource 1" u="1"/>
        <s v="Match 4.Queue2" u="1"/>
        <s v="Match 7.Queue1" u="1"/>
        <s v="Manual.Queue" u="1"/>
        <s v="Load Mill 6.Queue" u="1"/>
        <s v="Tub Cleaning.Queue" u="1"/>
        <s v="CIP V Blender 8.Queue" u="1"/>
        <s v="Load Mill 11.Queue" u="1"/>
        <s v="Match 5.Queue2" u="1"/>
        <s v="Match 8.Queue1" u="1"/>
        <s v="Weighroom.Queue" u="1"/>
        <s v="Operator 1" u="1"/>
        <s v="Weighroom 6.Queue" u="1"/>
        <s v="Load Mill 16.Queue" u="1"/>
        <s v="Processing Post 2.Queue" u="1"/>
        <s v="Peca" u="1"/>
        <s v="Part Type 2" u="1"/>
        <s v="Match 6.Queue2" u="1"/>
        <s v="Match 9.Queue1" u="1"/>
        <s v="r_weighroom207" u="1"/>
        <s v="Load Mill 7.Queue" u="1"/>
        <s v="CIP V Blender 4.Queue" u="1"/>
        <s v="Peptone LS Bin Blender 4.Queue" u="1"/>
        <s v="Peptone SS Bin Blender 4.Queue" u="1"/>
        <s v="Operator 2" u="1"/>
        <s v="r_smallpinmill" u="1"/>
        <s v="Match 13.Queue2" u="1"/>
        <s v="Match 7.Queue2" u="1"/>
        <s v="Servo CIP.Queue" u="1"/>
        <s v="r_binblender" u="1"/>
        <s v="Weighroom 7.Queue" u="1"/>
        <s v="Load Mill.Queue" u="1"/>
        <s v="ABFL.Queue" u="1"/>
        <s v="Match 8.Queue2" u="1"/>
        <s v="Seize Machine And Operator.Queue" u="1"/>
        <s v="Process Part Type 1 on Prep1.Queue" u="1"/>
        <s v="Operator 3" u="1"/>
        <s v="Load Mill 8.Queue" u="1"/>
        <s v="Load Mill 13.Queue" u="1"/>
        <s v="r_largefitzmill" u="1"/>
        <s v="Entity 1" u="1"/>
        <s v="Match 9.Queue2" u="1"/>
        <s v="r_weighroom208" u="1"/>
        <s v="Weighroom 8.Queue" u="1"/>
        <s v="Peptone LS Bin Blender 3.Queue" u="1"/>
        <s v="Peptone SS Bin Blender 3.Queue" u="1"/>
        <s v="Packaging Machine" u="1"/>
        <s v="Processing Post 1.Queue" u="1"/>
        <s v="r_CIP" u="1"/>
        <s v="Operator 4" u="1"/>
        <s v="r_weighroom135" u="1"/>
        <s v="Match 11.Queue1" u="1"/>
        <s v="Peptone LS Bin Blender.Queue" u="1"/>
        <s v="Peptone SS Bin Blender.Queue" u="1"/>
        <s v="Seize 40.Queue" u="1"/>
        <s v="Load Mill 9.Queue" u="1"/>
        <s v="DPM SS Bin Blender 4.Queue" u="1"/>
        <s v="Seize Pin Mill Weigh Room.Queue" u="1"/>
        <s v="r Prep1" u="1"/>
        <s v="Process Packaging.Queue" u="1"/>
        <s v="Tub Level" u="1"/>
        <s v="CIP Large Fitz.Queue" u="1"/>
        <s v="r Prep2" u="1"/>
        <s v="Seize Operator.Queue" u="1"/>
        <s v="Load Mill 10.Queue" u="1"/>
        <s v="DPM SS Bin Blender.Queue" u="1"/>
        <s v="r_weighroom203" u="1"/>
        <s v="Peptone LS Bin Blender 2.Queue" u="1"/>
        <s v="Peptone SS Bin Blender 2.Queue" u="1"/>
        <s v="Load Mill 15.Queue" u="1"/>
        <s v="E 1" u="1"/>
        <s v="Peptone LS V Blender 2.Queue" u="1"/>
        <s v="E 2" u="1"/>
        <s v="DPM SS Bin Blender 2.Queue" u="1"/>
        <s v="r_smallfitzmill" u="1"/>
        <s v="Peptone LS V Blender 3.Queue" u="1"/>
        <s v="Servo.Queue" u="1"/>
        <s v="Match 11.Queue2" u="1"/>
        <s v="Load Mill 2.Queue" u="1"/>
        <s v="Processing Post 4.Queue" u="1"/>
        <s v="Peptone LS V Blender.Queue" u="1"/>
        <s v="Operator" u="1"/>
        <s v="Peptone LS V Blender 6.Queue" u="1"/>
        <s v="r_weighroom204" u="1"/>
        <s v="Weighroom 2.Queue" u="1"/>
        <s v="Peptone LS V Blender 7.Queue" u="1"/>
        <s v="Load Mill 12.Queue" u="1"/>
        <s v="CIP V Blender.Queue" u="1"/>
        <s v="Seize LS V Blender 8.Queue" u="1"/>
        <s v="r Shared" u="1"/>
        <s v="Load Mill 3.Queue" u="1"/>
        <s v="CIP V Blender 2.Queue" u="1"/>
        <s v="r_vblender" u="1"/>
        <s v="Enter the Belt.Queue" u="1"/>
        <s v="Match 2.Queue1" u="1"/>
        <s v="Seize Fitz Mill Weigh Room.Queue" u="1"/>
        <s v="Weighroom 3.Queue" u="1"/>
        <s v="r_operator" u="1"/>
        <s v="Match 3.Queue1" u="1"/>
        <s v="Seize Bin Blender.Queue" u="1"/>
        <s v="Load Mill 4.Queue" u="1"/>
      </sharedItems>
    </cacheField>
    <cacheField name="Type" numFmtId="0">
      <sharedItems containsBlank="1" count="7">
        <s v="WIP"/>
        <m u="1"/>
        <s v="Number Waiting" u="1"/>
        <s v="Number Scheduled" u="1"/>
        <s v="Levels" u="1"/>
        <s v="Instantaneous Utilization" u="1"/>
        <s v="Number Busy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0" maxValue="2.02020202020202E-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1" maxValue="2"/>
    </cacheField>
    <cacheField name="LastRecordedValue" numFmtId="0">
      <sharedItems containsSemiMixedTypes="0" containsString="0" containsNumber="1" containsInteger="1" minValue="0" maxValue="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.02020202020202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.02020202020202E-2"/>
    </cacheField>
    <cacheField name="MaximumAverage" numFmtId="0">
      <sharedItems containsSemiMixedTypes="0" containsString="0" containsNumber="1" minValue="0" maxValue="2.02020202020202E-2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CS" refreshedDate="45299.642518287037" createdVersion="7" refreshedVersion="5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Unnamed Project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Constant(1)" u="1"/>
        <s v="Constant(2)" u="1"/>
        <s v="Constant(3)" u="1"/>
        <s v="Constant(4)" u="1"/>
        <s v="waiting" u="1"/>
        <s v="Constant(5)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s v="2024-01-08 15:24:57"/>
    <n v="1"/>
    <x v="0"/>
    <x v="0"/>
    <x v="0"/>
    <n v="0"/>
    <n v="2E+20"/>
    <n v="0"/>
    <n v="0"/>
    <n v="100"/>
    <s v="Unnamed ProjectCustomerNVA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0"/>
    <x v="1"/>
    <x v="0"/>
    <n v="0"/>
    <n v="2E+20"/>
    <n v="0"/>
    <n v="0"/>
    <n v="100"/>
    <s v="Unnamed ProjectCustomerOther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0"/>
    <x v="2"/>
    <x v="0"/>
    <n v="0"/>
    <n v="2E+20"/>
    <n v="0"/>
    <n v="0"/>
    <n v="100"/>
    <s v="Unnamed ProjectCustomerTotal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0"/>
    <x v="3"/>
    <x v="0"/>
    <n v="0"/>
    <n v="2E+20"/>
    <n v="0"/>
    <n v="0"/>
    <n v="100"/>
    <s v="Unnamed ProjectCustomerTransfer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0"/>
    <x v="4"/>
    <x v="0"/>
    <n v="0"/>
    <n v="2E+20"/>
    <n v="0"/>
    <n v="0"/>
    <n v="100"/>
    <s v="Unnamed ProjectCustomerVA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0"/>
    <x v="5"/>
    <x v="0"/>
    <n v="0"/>
    <n v="2E+20"/>
    <n v="0"/>
    <n v="0"/>
    <n v="100"/>
    <s v="Unnamed ProjectCustomerWait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1"/>
    <x v="0"/>
    <x v="0"/>
    <n v="0"/>
    <n v="2E+20"/>
    <n v="0"/>
    <n v="0"/>
    <n v="100"/>
    <s v="Unnamed ProjectInventory EvaluatorNVA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1"/>
    <x v="1"/>
    <x v="0"/>
    <n v="0"/>
    <n v="2E+20"/>
    <n v="0"/>
    <n v="0"/>
    <n v="100"/>
    <s v="Unnamed ProjectInventory EvaluatorOther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1"/>
    <x v="2"/>
    <x v="0"/>
    <n v="0.02"/>
    <n v="2E+20"/>
    <n v="0"/>
    <n v="1"/>
    <n v="100"/>
    <s v="Unnamed ProjectInventory EvaluatorTotal TimeEntity"/>
    <n v="1"/>
    <n v="0.02"/>
    <n v="0"/>
    <n v="0.95"/>
    <n v="4E+20"/>
    <n v="0.02"/>
    <n v="0.02"/>
    <n v="0"/>
    <n v="1"/>
    <n v="100"/>
    <n v="2E+20"/>
    <n v="1"/>
    <n v="1"/>
  </r>
  <r>
    <x v="0"/>
    <s v="2024-01-08 15:24:57"/>
    <n v="1"/>
    <x v="1"/>
    <x v="3"/>
    <x v="0"/>
    <n v="0"/>
    <n v="2E+20"/>
    <n v="0"/>
    <n v="0"/>
    <n v="100"/>
    <s v="Unnamed ProjectInventory EvaluatorTransfer TimeEntity"/>
    <n v="1"/>
    <n v="0"/>
    <n v="0"/>
    <n v="0.95"/>
    <n v="4E+20"/>
    <n v="0"/>
    <n v="0"/>
    <n v="0"/>
    <n v="0"/>
    <n v="100"/>
    <n v="2E+20"/>
    <n v="1"/>
    <n v="1"/>
  </r>
  <r>
    <x v="0"/>
    <s v="2024-01-08 15:24:57"/>
    <n v="1"/>
    <x v="1"/>
    <x v="4"/>
    <x v="0"/>
    <n v="0.02"/>
    <n v="2E+20"/>
    <n v="0"/>
    <n v="1"/>
    <n v="100"/>
    <s v="Unnamed ProjectInventory EvaluatorVA TimeEntity"/>
    <n v="1"/>
    <n v="0.02"/>
    <n v="0"/>
    <n v="0.95"/>
    <n v="4E+20"/>
    <n v="0.02"/>
    <n v="0.02"/>
    <n v="0"/>
    <n v="1"/>
    <n v="100"/>
    <n v="2E+20"/>
    <n v="1"/>
    <n v="1"/>
  </r>
  <r>
    <x v="0"/>
    <s v="2024-01-08 15:24:57"/>
    <n v="1"/>
    <x v="1"/>
    <x v="5"/>
    <x v="0"/>
    <n v="0"/>
    <n v="2E+20"/>
    <n v="0"/>
    <n v="0"/>
    <n v="100"/>
    <s v="Unnamed ProjectInventory EvaluatorWait TimeEntity"/>
    <n v="1"/>
    <n v="0"/>
    <n v="0"/>
    <n v="0.95"/>
    <n v="4E+20"/>
    <n v="0"/>
    <n v="0"/>
    <n v="0"/>
    <n v="0"/>
    <n v="100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">
  <r>
    <x v="0"/>
    <s v="2024-01-08 15:24:57"/>
    <n v="1"/>
    <x v="0"/>
    <x v="0"/>
    <x v="0"/>
    <n v="100"/>
    <n v="0"/>
    <s v="Unnamed ProjectCustomer.NumberInNumber InEntity"/>
    <n v="1"/>
    <n v="100"/>
    <n v="0"/>
    <n v="0.95"/>
    <n v="4E+20"/>
    <n v="100"/>
    <n v="100"/>
  </r>
  <r>
    <x v="0"/>
    <s v="2024-01-08 15:24:57"/>
    <n v="1"/>
    <x v="1"/>
    <x v="1"/>
    <x v="0"/>
    <n v="100"/>
    <n v="0"/>
    <s v="Unnamed ProjectCustomer.NumberOutNumber OutEntity"/>
    <n v="1"/>
    <n v="100"/>
    <n v="0"/>
    <n v="0.95"/>
    <n v="4E+20"/>
    <n v="100"/>
    <n v="100"/>
  </r>
  <r>
    <x v="0"/>
    <s v="2024-01-08 15:24:57"/>
    <n v="1"/>
    <x v="2"/>
    <x v="0"/>
    <x v="0"/>
    <n v="100"/>
    <n v="0"/>
    <s v="Unnamed ProjectInventory Evaluator.NumberInNumber InEntity"/>
    <n v="1"/>
    <n v="100"/>
    <n v="0"/>
    <n v="0.95"/>
    <n v="4E+20"/>
    <n v="100"/>
    <n v="100"/>
  </r>
  <r>
    <x v="0"/>
    <s v="2024-01-08 15:24:57"/>
    <n v="1"/>
    <x v="3"/>
    <x v="1"/>
    <x v="0"/>
    <n v="100"/>
    <n v="0"/>
    <s v="Unnamed ProjectInventory Evaluator.NumberOutNumber OutEntity"/>
    <n v="1"/>
    <n v="100"/>
    <n v="0"/>
    <n v="0.95"/>
    <n v="4E+20"/>
    <n v="100"/>
    <n v="100"/>
  </r>
  <r>
    <x v="0"/>
    <s v="2024-01-08 15:24:57"/>
    <n v="1"/>
    <x v="4"/>
    <x v="1"/>
    <x v="1"/>
    <n v="200"/>
    <n v="0"/>
    <s v="Unnamed ProjectSystem.NumberOutNumber OutSystem"/>
    <n v="1"/>
    <n v="200"/>
    <n v="0"/>
    <n v="0.95"/>
    <n v="4E+20"/>
    <n v="200"/>
    <n v="2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  <s v="2024-01-08 15:24:57"/>
    <n v="1"/>
    <x v="0"/>
    <x v="0"/>
    <x v="0"/>
    <n v="0"/>
    <n v="2E+20"/>
    <n v="0"/>
    <n v="1"/>
    <n v="0"/>
    <n v="0"/>
    <s v="Unnamed ProjectCustomerWIPEntity"/>
    <n v="1"/>
    <n v="0"/>
    <n v="0"/>
    <n v="0.95"/>
    <n v="4E+20"/>
    <n v="0"/>
    <n v="0"/>
    <n v="2E+20"/>
  </r>
  <r>
    <x v="0"/>
    <s v="2024-01-08 15:24:57"/>
    <n v="1"/>
    <x v="1"/>
    <x v="0"/>
    <x v="0"/>
    <n v="2.02020202020202E-2"/>
    <n v="2E+20"/>
    <n v="0"/>
    <n v="2"/>
    <n v="0"/>
    <n v="0"/>
    <s v="Unnamed ProjectInventory EvaluatorWIPEntity"/>
    <n v="1"/>
    <n v="2.02020202020202E-2"/>
    <n v="0"/>
    <n v="0.95"/>
    <n v="4E+20"/>
    <n v="2.02020202020202E-2"/>
    <n v="2.02020202020202E-2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DiscreteTimePivot" cacheId="40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94"/>
        <item m="1" x="34"/>
        <item m="1" x="57"/>
        <item m="1" x="32"/>
        <item m="1" x="4"/>
        <item m="1" x="84"/>
        <item m="1" x="83"/>
        <item m="1" x="75"/>
        <item m="1" x="77"/>
        <item m="1" x="52"/>
        <item m="1" x="21"/>
        <item m="1" x="35"/>
        <item m="1" x="78"/>
        <item m="1" x="67"/>
        <item m="1" x="88"/>
        <item m="1" x="49"/>
        <item m="1" x="59"/>
        <item m="1" x="14"/>
        <item m="1" x="66"/>
        <item m="1" x="48"/>
        <item m="1" x="69"/>
        <item m="1" x="20"/>
        <item m="1" x="56"/>
        <item m="1" x="26"/>
        <item m="1" x="47"/>
        <item m="1" x="68"/>
        <item m="1" x="13"/>
        <item m="1" x="93"/>
        <item m="1" x="12"/>
        <item m="1" x="39"/>
        <item m="1" x="27"/>
        <item m="1" x="90"/>
        <item m="1" x="16"/>
        <item m="1" x="64"/>
        <item m="1" x="71"/>
        <item m="1" x="70"/>
        <item m="1" x="89"/>
        <item m="1" x="51"/>
        <item m="1" x="7"/>
        <item m="1" x="74"/>
        <item m="1" x="31"/>
        <item m="1" x="82"/>
        <item m="1" x="92"/>
        <item m="1" x="100"/>
        <item m="1" x="11"/>
        <item m="1" x="38"/>
        <item m="1" x="50"/>
        <item m="1" x="63"/>
        <item m="1" x="46"/>
        <item m="1" x="25"/>
        <item m="1" x="58"/>
        <item m="1" x="81"/>
        <item m="1" x="15"/>
        <item m="1" x="42"/>
        <item m="1" x="95"/>
        <item m="1" x="9"/>
        <item m="1" x="98"/>
        <item m="1" x="17"/>
        <item m="1" x="3"/>
        <item m="1" x="23"/>
        <item m="1" x="10"/>
        <item m="1" x="28"/>
        <item m="1" x="18"/>
        <item m="1" x="36"/>
        <item m="1" x="24"/>
        <item m="1" x="43"/>
        <item m="1" x="37"/>
        <item m="1" x="53"/>
        <item m="1" x="72"/>
        <item m="1" x="40"/>
        <item m="1" x="22"/>
        <item m="1" x="5"/>
        <item m="1" x="60"/>
        <item m="1" x="76"/>
        <item m="1" x="79"/>
        <item m="1" x="87"/>
        <item m="1" x="85"/>
        <item m="1" x="73"/>
        <item m="1" x="55"/>
        <item m="1" x="41"/>
        <item m="1" x="61"/>
        <item m="1" x="62"/>
        <item m="1" x="99"/>
        <item m="1" x="96"/>
        <item m="1" x="91"/>
        <item m="1" x="65"/>
        <item m="1" x="44"/>
        <item m="1" x="80"/>
        <item m="1" x="33"/>
        <item m="1" x="86"/>
        <item m="1" x="97"/>
        <item m="1" x="6"/>
        <item m="1" x="19"/>
        <item m="1" x="30"/>
        <item m="1" x="45"/>
        <item m="1" x="54"/>
        <item m="1" x="29"/>
        <item m="1" x="8"/>
        <item m="1" x="2"/>
        <item x="0"/>
        <item x="1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8"/>
        <item m="1" x="11"/>
        <item m="1" x="9"/>
        <item m="1" x="7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OutputPivot" cacheId="46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2"/>
        <item m="1" x="6"/>
        <item m="1" x="33"/>
        <item m="1" x="7"/>
        <item m="1" x="34"/>
        <item m="1" x="8"/>
        <item m="1" x="35"/>
        <item m="1" x="9"/>
        <item m="1" x="66"/>
        <item m="1" x="17"/>
        <item x="4"/>
        <item m="1" x="26"/>
        <item m="1" x="16"/>
        <item m="1" x="30"/>
        <item m="1" x="20"/>
        <item m="1" x="67"/>
        <item m="1" x="76"/>
        <item m="1" x="50"/>
        <item m="1" x="14"/>
        <item m="1" x="68"/>
        <item m="1" x="58"/>
        <item m="1" x="57"/>
        <item m="1" x="15"/>
        <item m="1" x="28"/>
        <item m="1" x="24"/>
        <item m="1" x="29"/>
        <item m="1" x="25"/>
        <item m="1" x="81"/>
        <item m="1" x="19"/>
        <item m="1" x="78"/>
        <item m="1" x="64"/>
        <item m="1" x="42"/>
        <item m="1" x="47"/>
        <item m="1" x="51"/>
        <item m="1" x="45"/>
        <item m="1" x="43"/>
        <item m="1" x="48"/>
        <item m="1" x="52"/>
        <item m="1" x="46"/>
        <item m="1" x="79"/>
        <item m="1" x="56"/>
        <item m="1" x="82"/>
        <item m="1" x="77"/>
        <item m="1" x="12"/>
        <item m="1" x="71"/>
        <item m="1" x="13"/>
        <item m="1" x="72"/>
        <item m="1" x="65"/>
        <item m="1" x="54"/>
        <item m="1" x="55"/>
        <item m="1" x="23"/>
        <item m="1" x="27"/>
        <item m="1" x="74"/>
        <item m="1" x="22"/>
        <item m="1" x="21"/>
        <item m="1" x="70"/>
        <item m="1" x="75"/>
        <item m="1" x="10"/>
        <item m="1" x="31"/>
        <item m="1" x="44"/>
        <item m="1" x="69"/>
        <item m="1" x="80"/>
        <item m="1" x="11"/>
        <item m="1" x="41"/>
        <item m="1" x="49"/>
        <item m="1" x="73"/>
        <item m="1" x="53"/>
        <item m="1" x="18"/>
        <item m="1" x="36"/>
        <item m="1" x="59"/>
        <item m="1" x="37"/>
        <item m="1" x="60"/>
        <item m="1" x="38"/>
        <item m="1" x="61"/>
        <item m="1" x="39"/>
        <item m="1" x="62"/>
        <item m="1" x="40"/>
        <item m="1" x="63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m="1" x="3"/>
        <item m="1" x="5"/>
        <item m="1" x="4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CounterPivot" cacheId="52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1"/>
        <item m="1" x="3"/>
        <item m="1" x="2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ContinuousTimePivot" cacheId="58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O2:Y4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18"/>
        <item m="1" x="36"/>
        <item m="1" x="49"/>
        <item m="1" x="61"/>
        <item m="1" x="74"/>
        <item m="1" x="40"/>
        <item m="1" x="72"/>
        <item m="1" x="39"/>
        <item m="1" x="4"/>
        <item m="1" x="104"/>
        <item m="1" x="95"/>
        <item m="1" x="97"/>
        <item m="1" x="65"/>
        <item m="1" x="22"/>
        <item m="1" x="106"/>
        <item m="1" x="71"/>
        <item m="1" x="23"/>
        <item m="1" x="41"/>
        <item m="1" x="84"/>
        <item m="1" x="60"/>
        <item m="1" x="15"/>
        <item m="1" x="59"/>
        <item m="1" x="88"/>
        <item m="1" x="21"/>
        <item m="1" x="30"/>
        <item m="1" x="85"/>
        <item m="1" x="83"/>
        <item m="1" x="87"/>
        <item m="1" x="114"/>
        <item m="1" x="57"/>
        <item m="1" x="86"/>
        <item m="1" x="14"/>
        <item m="1" x="116"/>
        <item m="1" x="13"/>
        <item m="1" x="46"/>
        <item m="1" x="31"/>
        <item m="1" x="112"/>
        <item m="1" x="98"/>
        <item m="1" x="17"/>
        <item m="1" x="81"/>
        <item m="1" x="90"/>
        <item m="1" x="89"/>
        <item m="1" x="32"/>
        <item m="1" x="111"/>
        <item m="1" x="63"/>
        <item m="1" x="7"/>
        <item m="1" x="94"/>
        <item m="1" x="38"/>
        <item m="1" x="103"/>
        <item m="1" x="115"/>
        <item m="1" x="125"/>
        <item m="1" x="12"/>
        <item m="1" x="29"/>
        <item m="1" x="45"/>
        <item m="1" x="62"/>
        <item m="1" x="80"/>
        <item m="1" x="56"/>
        <item m="1" x="28"/>
        <item m="1" x="76"/>
        <item m="1" x="102"/>
        <item m="1" x="16"/>
        <item m="1" x="51"/>
        <item m="1" x="119"/>
        <item m="1" x="9"/>
        <item m="1" x="123"/>
        <item m="1" x="18"/>
        <item m="1" x="3"/>
        <item m="1" x="26"/>
        <item m="1" x="10"/>
        <item m="1" x="33"/>
        <item m="1" x="19"/>
        <item m="1" x="42"/>
        <item m="1" x="27"/>
        <item m="1" x="52"/>
        <item m="1" x="34"/>
        <item m="1" x="58"/>
        <item m="1" x="43"/>
        <item m="1" x="66"/>
        <item m="1" x="92"/>
        <item m="1" x="69"/>
        <item m="1" x="47"/>
        <item m="1" x="24"/>
        <item m="1" x="5"/>
        <item m="1" x="77"/>
        <item m="1" x="96"/>
        <item m="1" x="100"/>
        <item m="1" x="107"/>
        <item m="1" x="110"/>
        <item m="1" x="105"/>
        <item m="1" x="93"/>
        <item m="1" x="70"/>
        <item m="1" x="48"/>
        <item m="1" x="78"/>
        <item m="1" x="25"/>
        <item m="1" x="79"/>
        <item m="1" x="124"/>
        <item m="1" x="120"/>
        <item m="1" x="113"/>
        <item m="1" x="82"/>
        <item m="1" x="53"/>
        <item m="1" x="101"/>
        <item m="1" x="109"/>
        <item m="1" x="121"/>
        <item m="1" x="6"/>
        <item m="1" x="20"/>
        <item m="1" x="37"/>
        <item m="1" x="55"/>
        <item m="1" x="68"/>
        <item m="1" x="35"/>
        <item m="1" x="8"/>
        <item m="1" x="73"/>
        <item m="1" x="54"/>
        <item m="1" x="64"/>
        <item m="1" x="11"/>
        <item m="1" x="122"/>
        <item m="1" x="99"/>
        <item m="1" x="50"/>
        <item m="1" x="117"/>
        <item m="1" x="75"/>
        <item m="1" x="91"/>
        <item m="1" x="108"/>
        <item m="1" x="44"/>
        <item m="1" x="67"/>
        <item m="1" x="2"/>
        <item x="0"/>
        <item x="1"/>
      </items>
    </pivotField>
    <pivotField axis="axisRow" compact="0" outline="0" showAll="0" defaultSubtotal="0">
      <items count="7">
        <item m="1" x="5"/>
        <item m="1" x="6"/>
        <item m="1" x="3"/>
        <item m="1" x="2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124"/>
      <x v="4"/>
      <x/>
    </i>
    <i r="1">
      <x v="125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FrequencyPivot" cacheId="64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8"/>
        <item m="1" x="7"/>
        <item m="1" x="5"/>
        <item x="0"/>
        <item m="1" x="1"/>
        <item m="1" x="2"/>
        <item m="1" x="3"/>
        <item m="1" x="4"/>
        <item m="1" x="6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13" tableType="queryTable" totalsRowShown="0">
  <autoFilter ref="A1:Y13"/>
  <sortState ref="A2:Y13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3" tableType="queryTable" totalsRowShown="0">
  <autoFilter ref="A1:U3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7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7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7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6" tableType="queryTable" totalsRowShown="0">
  <autoFilter ref="A1:P6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71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7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6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1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0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39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38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7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0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3" width="15" bestFit="1" customWidth="1"/>
    <col min="4" max="4" width="12.5703125" bestFit="1" customWidth="1"/>
    <col min="5" max="7" width="1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3</v>
      </c>
      <c r="E2">
        <v>1</v>
      </c>
      <c r="F2">
        <v>99</v>
      </c>
      <c r="G2">
        <f>0.95</f>
        <v>0.95</v>
      </c>
    </row>
  </sheetData>
  <phoneticPr fontId="2" type="noConversion"/>
  <conditionalFormatting sqref="D2">
    <cfRule type="expression" dxfId="36" priority="1">
      <formula>D2=3</formula>
    </cfRule>
    <cfRule type="expression" dxfId="35" priority="2">
      <formula>D2=2</formula>
    </cfRule>
    <cfRule type="expression" dxfId="34" priority="3">
      <formula>D2=1</formula>
    </cfRule>
    <cfRule type="expression" dxfId="33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14"/>
  <sheetViews>
    <sheetView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3">
        <v>0</v>
      </c>
      <c r="F3" s="3">
        <v>1</v>
      </c>
      <c r="G3" s="3">
        <v>2E+20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100</v>
      </c>
      <c r="O3" t="s">
        <v>67</v>
      </c>
      <c r="P3" t="s">
        <v>71</v>
      </c>
      <c r="Q3" t="s">
        <v>80</v>
      </c>
      <c r="R3" t="s">
        <v>73</v>
      </c>
      <c r="S3" s="3">
        <v>0</v>
      </c>
      <c r="T3" s="3">
        <v>2E+20</v>
      </c>
      <c r="U3" s="3">
        <v>0</v>
      </c>
      <c r="V3" s="3">
        <v>0</v>
      </c>
      <c r="W3" s="3">
        <v>0</v>
      </c>
      <c r="X3" s="3">
        <v>0</v>
      </c>
      <c r="Y3" s="3">
        <v>1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87</v>
      </c>
      <c r="AM3" t="s">
        <v>84</v>
      </c>
      <c r="AN3" t="s">
        <v>88</v>
      </c>
      <c r="AO3" s="3">
        <v>200</v>
      </c>
      <c r="AP3" s="3">
        <v>4E+20</v>
      </c>
      <c r="AQ3" s="3">
        <v>0</v>
      </c>
      <c r="AR3" s="3">
        <v>200</v>
      </c>
      <c r="AS3" s="3">
        <v>200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C4" t="s">
        <v>74</v>
      </c>
      <c r="D4" t="s">
        <v>73</v>
      </c>
      <c r="E4" s="3">
        <v>0</v>
      </c>
      <c r="F4" s="3">
        <v>1</v>
      </c>
      <c r="G4" s="3">
        <v>2E+20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100</v>
      </c>
      <c r="P4" t="s">
        <v>79</v>
      </c>
      <c r="Q4" t="s">
        <v>80</v>
      </c>
      <c r="R4" t="s">
        <v>73</v>
      </c>
      <c r="S4" s="3">
        <v>2.02020202020202E-2</v>
      </c>
      <c r="T4" s="3">
        <v>2E+20</v>
      </c>
      <c r="U4" s="3">
        <v>0</v>
      </c>
      <c r="V4" s="3">
        <v>2.02020202020202E-2</v>
      </c>
      <c r="W4" s="3">
        <v>2.02020202020202E-2</v>
      </c>
      <c r="X4" s="3">
        <v>0</v>
      </c>
      <c r="Y4" s="3">
        <v>2</v>
      </c>
      <c r="AL4" t="s">
        <v>81</v>
      </c>
      <c r="AM4" t="s">
        <v>82</v>
      </c>
      <c r="AN4" t="s">
        <v>73</v>
      </c>
      <c r="AO4" s="3">
        <v>100</v>
      </c>
      <c r="AP4" s="3">
        <v>4E+20</v>
      </c>
      <c r="AQ4" s="3">
        <v>0</v>
      </c>
      <c r="AR4" s="3">
        <v>100</v>
      </c>
      <c r="AS4" s="3">
        <v>100</v>
      </c>
    </row>
    <row r="5" spans="1:52" x14ac:dyDescent="0.25">
      <c r="C5" t="s">
        <v>75</v>
      </c>
      <c r="D5" t="s">
        <v>73</v>
      </c>
      <c r="E5" s="3">
        <v>0</v>
      </c>
      <c r="F5" s="3">
        <v>1</v>
      </c>
      <c r="G5" s="3">
        <v>2E+20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100</v>
      </c>
      <c r="AL5" t="s">
        <v>83</v>
      </c>
      <c r="AM5" t="s">
        <v>84</v>
      </c>
      <c r="AN5" t="s">
        <v>73</v>
      </c>
      <c r="AO5" s="3">
        <v>100</v>
      </c>
      <c r="AP5" s="3">
        <v>4E+20</v>
      </c>
      <c r="AQ5" s="3">
        <v>0</v>
      </c>
      <c r="AR5" s="3">
        <v>100</v>
      </c>
      <c r="AS5" s="3">
        <v>100</v>
      </c>
    </row>
    <row r="6" spans="1:52" x14ac:dyDescent="0.25">
      <c r="C6" t="s">
        <v>76</v>
      </c>
      <c r="D6" t="s">
        <v>73</v>
      </c>
      <c r="E6" s="3">
        <v>0</v>
      </c>
      <c r="F6" s="3">
        <v>1</v>
      </c>
      <c r="G6" s="3">
        <v>2E+20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100</v>
      </c>
      <c r="AL6" t="s">
        <v>85</v>
      </c>
      <c r="AM6" t="s">
        <v>82</v>
      </c>
      <c r="AN6" t="s">
        <v>73</v>
      </c>
      <c r="AO6" s="3">
        <v>100</v>
      </c>
      <c r="AP6" s="3">
        <v>4E+20</v>
      </c>
      <c r="AQ6" s="3">
        <v>0</v>
      </c>
      <c r="AR6" s="3">
        <v>100</v>
      </c>
      <c r="AS6" s="3">
        <v>100</v>
      </c>
    </row>
    <row r="7" spans="1:52" x14ac:dyDescent="0.25">
      <c r="C7" t="s">
        <v>77</v>
      </c>
      <c r="D7" t="s">
        <v>73</v>
      </c>
      <c r="E7" s="3">
        <v>0</v>
      </c>
      <c r="F7" s="3">
        <v>1</v>
      </c>
      <c r="G7" s="3">
        <v>2E+20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100</v>
      </c>
      <c r="AL7" t="s">
        <v>86</v>
      </c>
      <c r="AM7" t="s">
        <v>84</v>
      </c>
      <c r="AN7" t="s">
        <v>73</v>
      </c>
      <c r="AO7" s="3">
        <v>100</v>
      </c>
      <c r="AP7" s="3">
        <v>4E+20</v>
      </c>
      <c r="AQ7" s="3">
        <v>0</v>
      </c>
      <c r="AR7" s="3">
        <v>100</v>
      </c>
      <c r="AS7" s="3">
        <v>100</v>
      </c>
    </row>
    <row r="8" spans="1:52" x14ac:dyDescent="0.25">
      <c r="C8" t="s">
        <v>78</v>
      </c>
      <c r="D8" t="s">
        <v>73</v>
      </c>
      <c r="E8" s="3">
        <v>0</v>
      </c>
      <c r="F8" s="3">
        <v>1</v>
      </c>
      <c r="G8" s="3">
        <v>2E+20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100</v>
      </c>
    </row>
    <row r="9" spans="1:52" x14ac:dyDescent="0.25">
      <c r="B9" t="s">
        <v>79</v>
      </c>
      <c r="C9" t="s">
        <v>72</v>
      </c>
      <c r="D9" t="s">
        <v>73</v>
      </c>
      <c r="E9" s="3">
        <v>0</v>
      </c>
      <c r="F9" s="3">
        <v>1</v>
      </c>
      <c r="G9" s="3">
        <v>2E+20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100</v>
      </c>
    </row>
    <row r="10" spans="1:52" x14ac:dyDescent="0.25">
      <c r="C10" t="s">
        <v>74</v>
      </c>
      <c r="D10" t="s">
        <v>73</v>
      </c>
      <c r="E10" s="3">
        <v>0</v>
      </c>
      <c r="F10" s="3">
        <v>1</v>
      </c>
      <c r="G10" s="3">
        <v>2E+20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100</v>
      </c>
    </row>
    <row r="11" spans="1:52" x14ac:dyDescent="0.25">
      <c r="C11" t="s">
        <v>75</v>
      </c>
      <c r="D11" t="s">
        <v>73</v>
      </c>
      <c r="E11" s="3">
        <v>0.02</v>
      </c>
      <c r="F11" s="3">
        <v>1</v>
      </c>
      <c r="G11" s="3">
        <v>2E+20</v>
      </c>
      <c r="H11" s="3">
        <v>0</v>
      </c>
      <c r="I11" s="3">
        <v>0.02</v>
      </c>
      <c r="J11" s="3">
        <v>0.02</v>
      </c>
      <c r="K11" s="3">
        <v>0</v>
      </c>
      <c r="L11" s="3">
        <v>1</v>
      </c>
      <c r="M11" s="3">
        <v>100</v>
      </c>
    </row>
    <row r="12" spans="1:52" x14ac:dyDescent="0.25">
      <c r="C12" t="s">
        <v>76</v>
      </c>
      <c r="D12" t="s">
        <v>73</v>
      </c>
      <c r="E12" s="3">
        <v>0</v>
      </c>
      <c r="F12" s="3">
        <v>1</v>
      </c>
      <c r="G12" s="3">
        <v>2E+20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100</v>
      </c>
    </row>
    <row r="13" spans="1:52" x14ac:dyDescent="0.25">
      <c r="C13" t="s">
        <v>77</v>
      </c>
      <c r="D13" t="s">
        <v>73</v>
      </c>
      <c r="E13" s="3">
        <v>0.02</v>
      </c>
      <c r="F13" s="3">
        <v>1</v>
      </c>
      <c r="G13" s="3">
        <v>2E+20</v>
      </c>
      <c r="H13" s="3">
        <v>0</v>
      </c>
      <c r="I13" s="3">
        <v>0.02</v>
      </c>
      <c r="J13" s="3">
        <v>0.02</v>
      </c>
      <c r="K13" s="3">
        <v>0</v>
      </c>
      <c r="L13" s="3">
        <v>1</v>
      </c>
      <c r="M13" s="3">
        <v>100</v>
      </c>
    </row>
    <row r="14" spans="1:52" x14ac:dyDescent="0.25">
      <c r="C14" t="s">
        <v>78</v>
      </c>
      <c r="D14" t="s">
        <v>73</v>
      </c>
      <c r="E14" s="3">
        <v>0</v>
      </c>
      <c r="F14" s="3">
        <v>1</v>
      </c>
      <c r="G14" s="3">
        <v>2E+20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100</v>
      </c>
    </row>
  </sheetData>
  <dataConsolidate/>
  <conditionalFormatting pivot="1" sqref="G3:G14">
    <cfRule type="expression" dxfId="32" priority="14">
      <formula>G3=200000000000000000000</formula>
    </cfRule>
  </conditionalFormatting>
  <conditionalFormatting pivot="1" sqref="T3:T4">
    <cfRule type="expression" dxfId="31" priority="13">
      <formula>T3=200000000000000000000</formula>
    </cfRule>
  </conditionalFormatting>
  <conditionalFormatting pivot="1" sqref="T3:T4">
    <cfRule type="expression" dxfId="30" priority="12">
      <formula>T3=300000000000000000000</formula>
    </cfRule>
  </conditionalFormatting>
  <conditionalFormatting pivot="1" sqref="G3:G14">
    <cfRule type="expression" dxfId="29" priority="11">
      <formula>G3=300000000000000000000</formula>
    </cfRule>
  </conditionalFormatting>
  <conditionalFormatting pivot="1" sqref="F3:F14">
    <cfRule type="expression" dxfId="28" priority="10">
      <formula>F3=0</formula>
    </cfRule>
  </conditionalFormatting>
  <conditionalFormatting pivot="1" sqref="F3:F14">
    <cfRule type="expression" dxfId="27" priority="9">
      <formula>F3=1</formula>
    </cfRule>
  </conditionalFormatting>
  <conditionalFormatting pivot="1" sqref="T3:T4">
    <cfRule type="expression" dxfId="26" priority="8">
      <formula>T3=400000000000000000000</formula>
    </cfRule>
  </conditionalFormatting>
  <conditionalFormatting pivot="1" sqref="AP3:AP7">
    <cfRule type="expression" dxfId="25" priority="7">
      <formula>AP3=400000000000000000000</formula>
    </cfRule>
  </conditionalFormatting>
  <conditionalFormatting pivot="1" sqref="AF3">
    <cfRule type="expression" dxfId="24" priority="6">
      <formula>AF3=400000000000000000000</formula>
    </cfRule>
  </conditionalFormatting>
  <conditionalFormatting pivot="1" sqref="G3:G14">
    <cfRule type="expression" dxfId="23" priority="5">
      <formula>G3=400000000000000000000</formula>
    </cfRule>
  </conditionalFormatting>
  <conditionalFormatting pivot="1" sqref="AZ3">
    <cfRule type="expression" dxfId="2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3"/>
  <sheetViews>
    <sheetView tabSelected="1" workbookViewId="0">
      <selection activeCell="C20" sqref="C20"/>
    </sheetView>
  </sheetViews>
  <sheetFormatPr defaultRowHeight="15" x14ac:dyDescent="0.25"/>
  <cols>
    <col min="1" max="2" width="15" customWidth="1"/>
    <col min="3" max="3" width="13.42578125" bestFit="1" customWidth="1"/>
    <col min="4" max="4" width="15" bestFit="1" customWidth="1"/>
    <col min="5" max="5" width="13.42578125" bestFit="1" customWidth="1"/>
    <col min="6" max="6" width="9.42578125" bestFit="1" customWidth="1"/>
    <col min="7" max="7" width="10.7109375" bestFit="1" customWidth="1"/>
    <col min="8" max="8" width="15" customWidth="1"/>
    <col min="9" max="9" width="12.140625" bestFit="1" customWidth="1"/>
    <col min="10" max="10" width="12.42578125" bestFit="1" customWidth="1"/>
    <col min="11" max="16" width="15" customWidth="1"/>
    <col min="17" max="17" width="12.5703125" bestFit="1" customWidth="1"/>
    <col min="18" max="25" width="15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100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s="3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>
        <f t="array" ref="R2">MIN(IF((DiscreteStatsTable[GroupByKey]=DiscreteStatsTable[[#This Row],[GroupByKey]]),(DiscreteStatsTable[GroupByKey]=DiscreteStatsTable[[#This Row],[GroupByKey]])*DiscreteStatsTable[Average]))</f>
        <v>0</v>
      </c>
      <c r="S2" s="3">
        <f t="array" ref="S2">MAX(IF((DiscreteStatsTable[GroupByKey]=DiscreteStatsTable[[#This Row],[GroupByKey]]),(DiscreteStatsTable[GroupByKey]=DiscreteStatsTable[[#This Row],[GroupByKey]])*DiscreteStatsTable[Average]))</f>
        <v>0</v>
      </c>
      <c r="T2" s="3">
        <f t="array" ref="T2">MIN(IF((DiscreteStatsTable[GroupByKey]=DiscreteStatsTable[[#This Row],[GroupByKey]]),(DiscreteStatsTable[GroupByKey]=DiscreteStatsTable[[#This Row],[GroupByKey]])*DiscreteStatsTable[Minimum]))</f>
        <v>0</v>
      </c>
      <c r="U2" s="3">
        <f t="array" ref="U2">MAX(IF((DiscreteStatsTable[GroupByKey]=DiscreteStatsTable[[#This Row],[GroupByKey]]),(DiscreteStatsTable[GroupByKey]=DiscreteStatsTable[[#This Row],[GroupByKey]])*DiscreteStatsTable[Maximum]))</f>
        <v>0</v>
      </c>
      <c r="V2" s="3">
        <f t="array" ref="V2">IFERROR(AVERAGE(IF((DiscreteStatsTable[GroupByKey]=DiscreteStatsTable[[#This Row],[GroupByKey]]),(DiscreteStatsTable[GroupByKey]=DiscreteStatsTable[[#This Row],[GroupByKey]])*DiscreteStatsTable[NumberObservations])),0)</f>
        <v>100</v>
      </c>
      <c r="W2" s="3">
        <f>IF((DiscreteStatsTable[[#This Row],[RepsRequested]]&gt;1),DiscreteStatsTable[[#This Row],[HalfWidth]],DiscreteStatsTable[[#This Row],[BatchMeansHalfWidth]])</f>
        <v>2E+20</v>
      </c>
      <c r="X2" s="3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100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s="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>
        <f t="array" ref="R3">MIN(IF((DiscreteStatsTable[GroupByKey]=DiscreteStatsTable[[#This Row],[GroupByKey]]),(DiscreteStatsTable[GroupByKey]=DiscreteStatsTable[[#This Row],[GroupByKey]])*DiscreteStatsTable[Average]))</f>
        <v>0</v>
      </c>
      <c r="S3" s="3">
        <f t="array" ref="S3">MAX(IF((DiscreteStatsTable[GroupByKey]=DiscreteStatsTable[[#This Row],[GroupByKey]]),(DiscreteStatsTable[GroupByKey]=DiscreteStatsTable[[#This Row],[GroupByKey]])*DiscreteStatsTable[Average]))</f>
        <v>0</v>
      </c>
      <c r="T3" s="3">
        <f t="array" ref="T3">MIN(IF((DiscreteStatsTable[GroupByKey]=DiscreteStatsTable[[#This Row],[GroupByKey]]),(DiscreteStatsTable[GroupByKey]=DiscreteStatsTable[[#This Row],[GroupByKey]])*DiscreteStatsTable[Minimum]))</f>
        <v>0</v>
      </c>
      <c r="U3" s="3">
        <f t="array" ref="U3">MAX(IF((DiscreteStatsTable[GroupByKey]=DiscreteStatsTable[[#This Row],[GroupByKey]]),(DiscreteStatsTable[GroupByKey]=DiscreteStatsTable[[#This Row],[GroupByKey]])*DiscreteStatsTable[Maximum]))</f>
        <v>0</v>
      </c>
      <c r="V3" s="3">
        <f t="array" ref="V3">IFERROR(AVERAGE(IF((DiscreteStatsTable[GroupByKey]=DiscreteStatsTable[[#This Row],[GroupByKey]]),(DiscreteStatsTable[GroupByKey]=DiscreteStatsTable[[#This Row],[GroupByKey]])*DiscreteStatsTable[NumberObservations])),0)</f>
        <v>100</v>
      </c>
      <c r="W3" s="3">
        <f>IF((DiscreteStatsTable[[#This Row],[RepsRequested]]&gt;1),DiscreteStatsTable[[#This Row],[HalfWidth]],DiscreteStatsTable[[#This Row],[BatchMeansHalfWidth]])</f>
        <v>2E+20</v>
      </c>
      <c r="X3" s="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</v>
      </c>
      <c r="H4">
        <v>2E+20</v>
      </c>
      <c r="I4">
        <v>0</v>
      </c>
      <c r="J4">
        <v>0</v>
      </c>
      <c r="K4">
        <v>100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s="3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>
        <f t="array" ref="R4">MIN(IF((DiscreteStatsTable[GroupByKey]=DiscreteStatsTable[[#This Row],[GroupByKey]]),(DiscreteStatsTable[GroupByKey]=DiscreteStatsTable[[#This Row],[GroupByKey]])*DiscreteStatsTable[Average]))</f>
        <v>0</v>
      </c>
      <c r="S4" s="3">
        <f t="array" ref="S4">MAX(IF((DiscreteStatsTable[GroupByKey]=DiscreteStatsTable[[#This Row],[GroupByKey]]),(DiscreteStatsTable[GroupByKey]=DiscreteStatsTable[[#This Row],[GroupByKey]])*DiscreteStatsTable[Average]))</f>
        <v>0</v>
      </c>
      <c r="T4" s="3">
        <f t="array" ref="T4">MIN(IF((DiscreteStatsTable[GroupByKey]=DiscreteStatsTable[[#This Row],[GroupByKey]]),(DiscreteStatsTable[GroupByKey]=DiscreteStatsTable[[#This Row],[GroupByKey]])*DiscreteStatsTable[Minimum]))</f>
        <v>0</v>
      </c>
      <c r="U4" s="3">
        <f t="array" ref="U4">MAX(IF((DiscreteStatsTable[GroupByKey]=DiscreteStatsTable[[#This Row],[GroupByKey]]),(DiscreteStatsTable[GroupByKey]=DiscreteStatsTable[[#This Row],[GroupByKey]])*DiscreteStatsTable[Maximum]))</f>
        <v>0</v>
      </c>
      <c r="V4" s="3">
        <f t="array" ref="V4">IFERROR(AVERAGE(IF((DiscreteStatsTable[GroupByKey]=DiscreteStatsTable[[#This Row],[GroupByKey]]),(DiscreteStatsTable[GroupByKey]=DiscreteStatsTable[[#This Row],[GroupByKey]])*DiscreteStatsTable[NumberObservations])),0)</f>
        <v>100</v>
      </c>
      <c r="W4" s="3">
        <f>IF((DiscreteStatsTable[[#This Row],[RepsRequested]]&gt;1),DiscreteStatsTable[[#This Row],[HalfWidth]],DiscreteStatsTable[[#This Row],[BatchMeansHalfWidth]])</f>
        <v>2E+20</v>
      </c>
      <c r="X4" s="3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100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>
        <f t="array" ref="R5">MIN(IF((DiscreteStatsTable[GroupByKey]=DiscreteStatsTable[[#This Row],[GroupByKey]]),(DiscreteStatsTable[GroupByKey]=DiscreteStatsTable[[#This Row],[GroupByKey]])*DiscreteStatsTable[Average]))</f>
        <v>0</v>
      </c>
      <c r="S5" s="3">
        <f t="array" ref="S5">MAX(IF((DiscreteStatsTable[GroupByKey]=DiscreteStatsTable[[#This Row],[GroupByKey]]),(DiscreteStatsTable[GroupByKey]=DiscreteStatsTable[[#This Row],[GroupByKey]])*DiscreteStatsTable[Average]))</f>
        <v>0</v>
      </c>
      <c r="T5" s="3">
        <f t="array" ref="T5">MIN(IF((DiscreteStatsTable[GroupByKey]=DiscreteStatsTable[[#This Row],[GroupByKey]]),(DiscreteStatsTable[GroupByKey]=DiscreteStatsTable[[#This Row],[GroupByKey]])*DiscreteStatsTable[Minimum]))</f>
        <v>0</v>
      </c>
      <c r="U5" s="3">
        <f t="array" ref="U5">MAX(IF((DiscreteStatsTable[GroupByKey]=DiscreteStatsTable[[#This Row],[GroupByKey]]),(DiscreteStatsTable[GroupByKey]=DiscreteStatsTable[[#This Row],[GroupByKey]])*DiscreteStatsTable[Maximum]))</f>
        <v>0</v>
      </c>
      <c r="V5" s="3">
        <f t="array" ref="V5">IFERROR(AVERAGE(IF((DiscreteStatsTable[GroupByKey]=DiscreteStatsTable[[#This Row],[GroupByKey]]),(DiscreteStatsTable[GroupByKey]=DiscreteStatsTable[[#This Row],[GroupByKey]])*DiscreteStatsTable[NumberObservations])),0)</f>
        <v>100</v>
      </c>
      <c r="W5" s="3">
        <f>IF((DiscreteStatsTable[[#This Row],[RepsRequested]]&gt;1),DiscreteStatsTable[[#This Row],[HalfWidth]],DiscreteStatsTable[[#This Row],[BatchMeansHalfWidth]])</f>
        <v>2E+20</v>
      </c>
      <c r="X5" s="3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100</v>
      </c>
      <c r="L6" s="3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s="3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s="3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>
        <f t="array" ref="R6">MIN(IF((DiscreteStatsTable[GroupByKey]=DiscreteStatsTable[[#This Row],[GroupByKey]]),(DiscreteStatsTable[GroupByKey]=DiscreteStatsTable[[#This Row],[GroupByKey]])*DiscreteStatsTable[Average]))</f>
        <v>0</v>
      </c>
      <c r="S6" s="3">
        <f t="array" ref="S6">MAX(IF((DiscreteStatsTable[GroupByKey]=DiscreteStatsTable[[#This Row],[GroupByKey]]),(DiscreteStatsTable[GroupByKey]=DiscreteStatsTable[[#This Row],[GroupByKey]])*DiscreteStatsTable[Average]))</f>
        <v>0</v>
      </c>
      <c r="T6" s="3">
        <f t="array" ref="T6">MIN(IF((DiscreteStatsTable[GroupByKey]=DiscreteStatsTable[[#This Row],[GroupByKey]]),(DiscreteStatsTable[GroupByKey]=DiscreteStatsTable[[#This Row],[GroupByKey]])*DiscreteStatsTable[Minimum]))</f>
        <v>0</v>
      </c>
      <c r="U6" s="3">
        <f t="array" ref="U6">MAX(IF((DiscreteStatsTable[GroupByKey]=DiscreteStatsTable[[#This Row],[GroupByKey]]),(DiscreteStatsTable[GroupByKey]=DiscreteStatsTable[[#This Row],[GroupByKey]])*DiscreteStatsTable[Maximum]))</f>
        <v>0</v>
      </c>
      <c r="V6" s="3">
        <f t="array" ref="V6">IFERROR(AVERAGE(IF((DiscreteStatsTable[GroupByKey]=DiscreteStatsTable[[#This Row],[GroupByKey]]),(DiscreteStatsTable[GroupByKey]=DiscreteStatsTable[[#This Row],[GroupByKey]])*DiscreteStatsTable[NumberObservations])),0)</f>
        <v>100</v>
      </c>
      <c r="W6" s="3">
        <f>IF((DiscreteStatsTable[[#This Row],[RepsRequested]]&gt;1),DiscreteStatsTable[[#This Row],[HalfWidth]],DiscreteStatsTable[[#This Row],[BatchMeansHalfWidth]])</f>
        <v>2E+20</v>
      </c>
      <c r="X6" s="3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100</v>
      </c>
      <c r="L7" s="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s="3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>
        <f t="array" ref="R7">MIN(IF((DiscreteStatsTable[GroupByKey]=DiscreteStatsTable[[#This Row],[GroupByKey]]),(DiscreteStatsTable[GroupByKey]=DiscreteStatsTable[[#This Row],[GroupByKey]])*DiscreteStatsTable[Average]))</f>
        <v>0</v>
      </c>
      <c r="S7" s="3">
        <f t="array" ref="S7">MAX(IF((DiscreteStatsTable[GroupByKey]=DiscreteStatsTable[[#This Row],[GroupByKey]]),(DiscreteStatsTable[GroupByKey]=DiscreteStatsTable[[#This Row],[GroupByKey]])*DiscreteStatsTable[Average]))</f>
        <v>0</v>
      </c>
      <c r="T7" s="3">
        <f t="array" ref="T7">MIN(IF((DiscreteStatsTable[GroupByKey]=DiscreteStatsTable[[#This Row],[GroupByKey]]),(DiscreteStatsTable[GroupByKey]=DiscreteStatsTable[[#This Row],[GroupByKey]])*DiscreteStatsTable[Minimum]))</f>
        <v>0</v>
      </c>
      <c r="U7" s="3">
        <f t="array" ref="U7">MAX(IF((DiscreteStatsTable[GroupByKey]=DiscreteStatsTable[[#This Row],[GroupByKey]]),(DiscreteStatsTable[GroupByKey]=DiscreteStatsTable[[#This Row],[GroupByKey]])*DiscreteStatsTable[Maximum]))</f>
        <v>0</v>
      </c>
      <c r="V7" s="3">
        <f t="array" ref="V7">IFERROR(AVERAGE(IF((DiscreteStatsTable[GroupByKey]=DiscreteStatsTable[[#This Row],[GroupByKey]]),(DiscreteStatsTable[GroupByKey]=DiscreteStatsTable[[#This Row],[GroupByKey]])*DiscreteStatsTable[NumberObservations])),0)</f>
        <v>100</v>
      </c>
      <c r="W7" s="3">
        <f>IF((DiscreteStatsTable[[#This Row],[RepsRequested]]&gt;1),DiscreteStatsTable[[#This Row],[HalfWidth]],DiscreteStatsTable[[#This Row],[BatchMeansHalfWidth]])</f>
        <v>2E+20</v>
      </c>
      <c r="X7" s="3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79</v>
      </c>
      <c r="E8" t="s">
        <v>72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100</v>
      </c>
      <c r="L8" s="3" t="str">
        <f>DiscreteStatsTable[[#This Row],[ProjectName]]&amp;DiscreteStatsTable[[#This Row],[Name]]&amp;DiscreteStatsTable[[#This Row],[Type]]&amp;DiscreteStatsTable[[#This Row],[Source]]</f>
        <v>Unnamed ProjectInventory EvaluatorNVA TimeEntity</v>
      </c>
      <c r="M8" s="3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s="3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>
        <f t="array" ref="R8">MIN(IF((DiscreteStatsTable[GroupByKey]=DiscreteStatsTable[[#This Row],[GroupByKey]]),(DiscreteStatsTable[GroupByKey]=DiscreteStatsTable[[#This Row],[GroupByKey]])*DiscreteStatsTable[Average]))</f>
        <v>0</v>
      </c>
      <c r="S8" s="3">
        <f t="array" ref="S8">MAX(IF((DiscreteStatsTable[GroupByKey]=DiscreteStatsTable[[#This Row],[GroupByKey]]),(DiscreteStatsTable[GroupByKey]=DiscreteStatsTable[[#This Row],[GroupByKey]])*DiscreteStatsTable[Average]))</f>
        <v>0</v>
      </c>
      <c r="T8" s="3">
        <f t="array" ref="T8">MIN(IF((DiscreteStatsTable[GroupByKey]=DiscreteStatsTable[[#This Row],[GroupByKey]]),(DiscreteStatsTable[GroupByKey]=DiscreteStatsTable[[#This Row],[GroupByKey]])*DiscreteStatsTable[Minimum]))</f>
        <v>0</v>
      </c>
      <c r="U8" s="3">
        <f t="array" ref="U8">MAX(IF((DiscreteStatsTable[GroupByKey]=DiscreteStatsTable[[#This Row],[GroupByKey]]),(DiscreteStatsTable[GroupByKey]=DiscreteStatsTable[[#This Row],[GroupByKey]])*DiscreteStatsTable[Maximum]))</f>
        <v>0</v>
      </c>
      <c r="V8" s="3">
        <f t="array" ref="V8">IFERROR(AVERAGE(IF((DiscreteStatsTable[GroupByKey]=DiscreteStatsTable[[#This Row],[GroupByKey]]),(DiscreteStatsTable[GroupByKey]=DiscreteStatsTable[[#This Row],[GroupByKey]])*DiscreteStatsTable[NumberObservations])),0)</f>
        <v>100</v>
      </c>
      <c r="W8" s="3">
        <f>IF((DiscreteStatsTable[[#This Row],[RepsRequested]]&gt;1),DiscreteStatsTable[[#This Row],[HalfWidth]],DiscreteStatsTable[[#This Row],[BatchMeansHalfWidth]])</f>
        <v>2E+20</v>
      </c>
      <c r="X8" s="3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79</v>
      </c>
      <c r="E9" t="s">
        <v>74</v>
      </c>
      <c r="F9" t="s">
        <v>73</v>
      </c>
      <c r="G9">
        <v>0</v>
      </c>
      <c r="H9">
        <v>2E+20</v>
      </c>
      <c r="I9">
        <v>0</v>
      </c>
      <c r="J9">
        <v>0</v>
      </c>
      <c r="K9">
        <v>100</v>
      </c>
      <c r="L9" s="3" t="str">
        <f>DiscreteStatsTable[[#This Row],[ProjectName]]&amp;DiscreteStatsTable[[#This Row],[Name]]&amp;DiscreteStatsTable[[#This Row],[Type]]&amp;DiscreteStatsTable[[#This Row],[Source]]</f>
        <v>Unnamed ProjectInventory EvaluatorOther TimeEntity</v>
      </c>
      <c r="M9" s="3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s="3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>
        <f t="array" ref="R9">MIN(IF((DiscreteStatsTable[GroupByKey]=DiscreteStatsTable[[#This Row],[GroupByKey]]),(DiscreteStatsTable[GroupByKey]=DiscreteStatsTable[[#This Row],[GroupByKey]])*DiscreteStatsTable[Average]))</f>
        <v>0</v>
      </c>
      <c r="S9" s="3">
        <f t="array" ref="S9">MAX(IF((DiscreteStatsTable[GroupByKey]=DiscreteStatsTable[[#This Row],[GroupByKey]]),(DiscreteStatsTable[GroupByKey]=DiscreteStatsTable[[#This Row],[GroupByKey]])*DiscreteStatsTable[Average]))</f>
        <v>0</v>
      </c>
      <c r="T9" s="3">
        <f t="array" ref="T9">MIN(IF((DiscreteStatsTable[GroupByKey]=DiscreteStatsTable[[#This Row],[GroupByKey]]),(DiscreteStatsTable[GroupByKey]=DiscreteStatsTable[[#This Row],[GroupByKey]])*DiscreteStatsTable[Minimum]))</f>
        <v>0</v>
      </c>
      <c r="U9" s="3">
        <f t="array" ref="U9">MAX(IF((DiscreteStatsTable[GroupByKey]=DiscreteStatsTable[[#This Row],[GroupByKey]]),(DiscreteStatsTable[GroupByKey]=DiscreteStatsTable[[#This Row],[GroupByKey]])*DiscreteStatsTable[Maximum]))</f>
        <v>0</v>
      </c>
      <c r="V9" s="3">
        <f t="array" ref="V9">IFERROR(AVERAGE(IF((DiscreteStatsTable[GroupByKey]=DiscreteStatsTable[[#This Row],[GroupByKey]]),(DiscreteStatsTable[GroupByKey]=DiscreteStatsTable[[#This Row],[GroupByKey]])*DiscreteStatsTable[NumberObservations])),0)</f>
        <v>100</v>
      </c>
      <c r="W9" s="3">
        <f>IF((DiscreteStatsTable[[#This Row],[RepsRequested]]&gt;1),DiscreteStatsTable[[#This Row],[HalfWidth]],DiscreteStatsTable[[#This Row],[BatchMeansHalfWidth]])</f>
        <v>2E+20</v>
      </c>
      <c r="X9" s="3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79</v>
      </c>
      <c r="E10" t="s">
        <v>75</v>
      </c>
      <c r="F10" t="s">
        <v>73</v>
      </c>
      <c r="G10">
        <v>0.02</v>
      </c>
      <c r="H10">
        <v>2E+20</v>
      </c>
      <c r="I10">
        <v>0</v>
      </c>
      <c r="J10">
        <v>1</v>
      </c>
      <c r="K10">
        <v>100</v>
      </c>
      <c r="L10" s="3" t="str">
        <f>DiscreteStatsTable[[#This Row],[ProjectName]]&amp;DiscreteStatsTable[[#This Row],[Name]]&amp;DiscreteStatsTable[[#This Row],[Type]]&amp;DiscreteStatsTable[[#This Row],[Source]]</f>
        <v>Unnamed ProjectInventory EvaluatorTotal TimeEntity</v>
      </c>
      <c r="M10" s="3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>
        <f t="array" ref="N10">IFERROR(AVERAGE(IF((DiscreteStatsTable[GroupByKey]=DiscreteStatsTable[[#This Row],[GroupByKey]]),(DiscreteStatsTable[GroupByKey]=DiscreteStatsTable[[#This Row],[GroupByKey]])*DiscreteStatsTable[Average])),0)</f>
        <v>0.02</v>
      </c>
      <c r="O10" s="3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>
        <f t="array" ref="R10">MIN(IF((DiscreteStatsTable[GroupByKey]=DiscreteStatsTable[[#This Row],[GroupByKey]]),(DiscreteStatsTable[GroupByKey]=DiscreteStatsTable[[#This Row],[GroupByKey]])*DiscreteStatsTable[Average]))</f>
        <v>0.02</v>
      </c>
      <c r="S10" s="3">
        <f t="array" ref="S10">MAX(IF((DiscreteStatsTable[GroupByKey]=DiscreteStatsTable[[#This Row],[GroupByKey]]),(DiscreteStatsTable[GroupByKey]=DiscreteStatsTable[[#This Row],[GroupByKey]])*DiscreteStatsTable[Average]))</f>
        <v>0.02</v>
      </c>
      <c r="T10" s="3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>
        <f t="array" ref="U10">MAX(IF((DiscreteStatsTable[GroupByKey]=DiscreteStatsTable[[#This Row],[GroupByKey]]),(DiscreteStatsTable[GroupByKey]=DiscreteStatsTable[[#This Row],[GroupByKey]])*DiscreteStatsTable[Maximum]))</f>
        <v>1</v>
      </c>
      <c r="V10" s="3">
        <f t="array" ref="V10">IFERROR(AVERAGE(IF((DiscreteStatsTable[GroupByKey]=DiscreteStatsTable[[#This Row],[GroupByKey]]),(DiscreteStatsTable[GroupByKey]=DiscreteStatsTable[[#This Row],[GroupByKey]])*DiscreteStatsTable[NumberObservations])),0)</f>
        <v>100</v>
      </c>
      <c r="W10" s="3">
        <f>IF((DiscreteStatsTable[[#This Row],[RepsRequested]]&gt;1),DiscreteStatsTable[[#This Row],[HalfWidth]],DiscreteStatsTable[[#This Row],[BatchMeansHalfWidth]])</f>
        <v>2E+20</v>
      </c>
      <c r="X10" s="3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79</v>
      </c>
      <c r="E11" t="s">
        <v>76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100</v>
      </c>
      <c r="L11" s="3" t="str">
        <f>DiscreteStatsTable[[#This Row],[ProjectName]]&amp;DiscreteStatsTable[[#This Row],[Name]]&amp;DiscreteStatsTable[[#This Row],[Type]]&amp;DiscreteStatsTable[[#This Row],[Source]]</f>
        <v>Unnamed ProjectInventory EvaluatorTransfer TimeEntity</v>
      </c>
      <c r="M11" s="3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s="3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>
        <f t="array" ref="R11">MIN(IF((DiscreteStatsTable[GroupByKey]=DiscreteStatsTable[[#This Row],[GroupByKey]]),(DiscreteStatsTable[GroupByKey]=DiscreteStatsTable[[#This Row],[GroupByKey]])*DiscreteStatsTable[Average]))</f>
        <v>0</v>
      </c>
      <c r="S11" s="3">
        <f t="array" ref="S11">MAX(IF((DiscreteStatsTable[GroupByKey]=DiscreteStatsTable[[#This Row],[GroupByKey]]),(DiscreteStatsTable[GroupByKey]=DiscreteStatsTable[[#This Row],[GroupByKey]])*DiscreteStatsTable[Average]))</f>
        <v>0</v>
      </c>
      <c r="T11" s="3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>
        <f t="array" ref="U11">MAX(IF((DiscreteStatsTable[GroupByKey]=DiscreteStatsTable[[#This Row],[GroupByKey]]),(DiscreteStatsTable[GroupByKey]=DiscreteStatsTable[[#This Row],[GroupByKey]])*DiscreteStatsTable[Maximum]))</f>
        <v>0</v>
      </c>
      <c r="V11" s="3">
        <f t="array" ref="V11">IFERROR(AVERAGE(IF((DiscreteStatsTable[GroupByKey]=DiscreteStatsTable[[#This Row],[GroupByKey]]),(DiscreteStatsTable[GroupByKey]=DiscreteStatsTable[[#This Row],[GroupByKey]])*DiscreteStatsTable[NumberObservations])),0)</f>
        <v>100</v>
      </c>
      <c r="W11" s="3">
        <f>IF((DiscreteStatsTable[[#This Row],[RepsRequested]]&gt;1),DiscreteStatsTable[[#This Row],[HalfWidth]],DiscreteStatsTable[[#This Row],[BatchMeansHalfWidth]])</f>
        <v>2E+20</v>
      </c>
      <c r="X11" s="3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79</v>
      </c>
      <c r="E12" t="s">
        <v>77</v>
      </c>
      <c r="F12" t="s">
        <v>73</v>
      </c>
      <c r="G12">
        <v>0.02</v>
      </c>
      <c r="H12">
        <v>2E+20</v>
      </c>
      <c r="I12">
        <v>0</v>
      </c>
      <c r="J12">
        <v>1</v>
      </c>
      <c r="K12">
        <v>100</v>
      </c>
      <c r="L12" t="str">
        <f>DiscreteStatsTable[[#This Row],[ProjectName]]&amp;DiscreteStatsTable[[#This Row],[Name]]&amp;DiscreteStatsTable[[#This Row],[Type]]&amp;DiscreteStatsTable[[#This Row],[Source]]</f>
        <v>Unnamed ProjectInventory EvaluatorVA TimeEntity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0.02</v>
      </c>
      <c r="O12" s="3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s="3">
        <f t="array" ref="R12">MIN(IF((DiscreteStatsTable[GroupByKey]=DiscreteStatsTable[[#This Row],[GroupByKey]]),(DiscreteStatsTable[GroupByKey]=DiscreteStatsTable[[#This Row],[GroupByKey]])*DiscreteStatsTable[Average]))</f>
        <v>0.02</v>
      </c>
      <c r="S12" s="3">
        <f t="array" ref="S12">MAX(IF((DiscreteStatsTable[GroupByKey]=DiscreteStatsTable[[#This Row],[GroupByKey]]),(DiscreteStatsTable[GroupByKey]=DiscreteStatsTable[[#This Row],[GroupByKey]])*DiscreteStatsTable[Average]))</f>
        <v>0.02</v>
      </c>
      <c r="T12" s="3">
        <f t="array" ref="T12">MIN(IF((DiscreteStatsTable[GroupByKey]=DiscreteStatsTable[[#This Row],[GroupByKey]]),(DiscreteStatsTable[GroupByKey]=DiscreteStatsTable[[#This Row],[GroupByKey]])*DiscreteStatsTable[Minimum]))</f>
        <v>0</v>
      </c>
      <c r="U12" s="3">
        <f t="array" ref="U12">MAX(IF((DiscreteStatsTable[GroupByKey]=DiscreteStatsTable[[#This Row],[GroupByKey]]),(DiscreteStatsTable[GroupByKey]=DiscreteStatsTable[[#This Row],[GroupByKey]])*DiscreteStatsTable[Maximum]))</f>
        <v>1</v>
      </c>
      <c r="V12" s="3">
        <f t="array" ref="V12">IFERROR(AVERAGE(IF((DiscreteStatsTable[GroupByKey]=DiscreteStatsTable[[#This Row],[GroupByKey]]),(DiscreteStatsTable[GroupByKey]=DiscreteStatsTable[[#This Row],[GroupByKey]])*DiscreteStatsTable[NumberObservations])),0)</f>
        <v>100</v>
      </c>
      <c r="W12" s="3">
        <f>IF((DiscreteStatsTable[[#This Row],[RepsRequested]]&gt;1),DiscreteStatsTable[[#This Row],[HalfWidth]],DiscreteStatsTable[[#This Row],[BatchMeansHalfWidth]])</f>
        <v>2E+20</v>
      </c>
      <c r="X12" s="3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 s="3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</v>
      </c>
      <c r="D13" t="s">
        <v>79</v>
      </c>
      <c r="E13" t="s">
        <v>78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100</v>
      </c>
      <c r="L13" t="str">
        <f>DiscreteStatsTable[[#This Row],[ProjectName]]&amp;DiscreteStatsTable[[#This Row],[Name]]&amp;DiscreteStatsTable[[#This Row],[Type]]&amp;DiscreteStatsTable[[#This Row],[Source]]</f>
        <v>Unnamed ProjectInventory EvaluatorWait TimeEntity</v>
      </c>
      <c r="M13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s="3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s="3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 s="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s="3">
        <f t="array" ref="R13">MIN(IF((DiscreteStatsTable[GroupByKey]=DiscreteStatsTable[[#This Row],[GroupByKey]]),(DiscreteStatsTable[GroupByKey]=DiscreteStatsTable[[#This Row],[GroupByKey]])*DiscreteStatsTable[Average]))</f>
        <v>0</v>
      </c>
      <c r="S13" s="3">
        <f t="array" ref="S13">MAX(IF((DiscreteStatsTable[GroupByKey]=DiscreteStatsTable[[#This Row],[GroupByKey]]),(DiscreteStatsTable[GroupByKey]=DiscreteStatsTable[[#This Row],[GroupByKey]])*DiscreteStatsTable[Average]))</f>
        <v>0</v>
      </c>
      <c r="T13" s="3">
        <f t="array" ref="T13">MIN(IF((DiscreteStatsTable[GroupByKey]=DiscreteStatsTable[[#This Row],[GroupByKey]]),(DiscreteStatsTable[GroupByKey]=DiscreteStatsTable[[#This Row],[GroupByKey]])*DiscreteStatsTable[Minimum]))</f>
        <v>0</v>
      </c>
      <c r="U13" s="3">
        <f t="array" ref="U13">MAX(IF((DiscreteStatsTable[GroupByKey]=DiscreteStatsTable[[#This Row],[GroupByKey]]),(DiscreteStatsTable[GroupByKey]=DiscreteStatsTable[[#This Row],[GroupByKey]])*DiscreteStatsTable[Maximum]))</f>
        <v>0</v>
      </c>
      <c r="V13" s="3">
        <f t="array" ref="V13">IFERROR(AVERAGE(IF((DiscreteStatsTable[GroupByKey]=DiscreteStatsTable[[#This Row],[GroupByKey]]),(DiscreteStatsTable[GroupByKey]=DiscreteStatsTable[[#This Row],[GroupByKey]])*DiscreteStatsTable[NumberObservations])),0)</f>
        <v>100</v>
      </c>
      <c r="W13" s="3">
        <f>IF((DiscreteStatsTable[[#This Row],[RepsRequested]]&gt;1),DiscreteStatsTable[[#This Row],[HalfWidth]],DiscreteStatsTable[[#This Row],[BatchMeansHalfWidth]])</f>
        <v>2E+20</v>
      </c>
      <c r="X13" s="3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 s="3">
        <f>IF(DiscreteStatsTable[[#This Row],[RepsRequested]]=DiscreteStatsTable[[#This Row],[RepsWithStatObserved]],1,0)</f>
        <v>1</v>
      </c>
    </row>
  </sheetData>
  <phoneticPr fontId="2" type="noConversion"/>
  <conditionalFormatting sqref="H2:H13 Q2:Q13">
    <cfRule type="expression" dxfId="21" priority="23">
      <formula>H2=200000000000000000000</formula>
    </cfRule>
  </conditionalFormatting>
  <conditionalFormatting sqref="H2:H13">
    <cfRule type="expression" dxfId="20" priority="21">
      <formula>H2=300000000000000000000</formula>
    </cfRule>
  </conditionalFormatting>
  <conditionalFormatting sqref="L2:Y13">
    <cfRule type="expression" dxfId="19" priority="19">
      <formula>MOD(ROW(),2)=0</formula>
    </cfRule>
  </conditionalFormatting>
  <conditionalFormatting sqref="Y2:Y13">
    <cfRule type="expression" dxfId="18" priority="14">
      <formula>Y2=0</formula>
    </cfRule>
    <cfRule type="expression" dxfId="17" priority="16">
      <formula>Y2=1</formula>
    </cfRule>
  </conditionalFormatting>
  <conditionalFormatting sqref="Y3:Y13">
    <cfRule type="expression" dxfId="16" priority="15">
      <formula>Y3=1</formula>
    </cfRule>
  </conditionalFormatting>
  <conditionalFormatting sqref="W2:W13">
    <cfRule type="expression" dxfId="15" priority="6">
      <formula>W2=300000000000000000000</formula>
    </cfRule>
    <cfRule type="expression" dxfId="14" priority="7">
      <formula>W2=200000000000000000000</formula>
    </cfRule>
  </conditionalFormatting>
  <conditionalFormatting sqref="Q2:Q13 W2:W13">
    <cfRule type="expression" dxfId="1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"/>
  <sheetViews>
    <sheetView workbookViewId="0">
      <selection activeCell="H17" sqref="H17"/>
    </sheetView>
  </sheetViews>
  <sheetFormatPr defaultRowHeight="15" x14ac:dyDescent="0.25"/>
  <cols>
    <col min="1" max="2" width="15" customWidth="1"/>
    <col min="3" max="3" width="13.42578125" bestFit="1" customWidth="1"/>
    <col min="4" max="4" width="15" bestFit="1" customWidth="1"/>
    <col min="5" max="5" width="7.7109375" bestFit="1" customWidth="1"/>
    <col min="6" max="6" width="9.42578125" bestFit="1" customWidth="1"/>
    <col min="7" max="7" width="11.140625" bestFit="1" customWidth="1"/>
    <col min="8" max="8" width="15" customWidth="1"/>
    <col min="9" max="9" width="12.140625" bestFit="1" customWidth="1"/>
    <col min="10" max="10" width="12.42578125" bestFit="1" customWidth="1"/>
    <col min="11" max="11" width="15" customWidth="1"/>
    <col min="12" max="12" width="12.140625" bestFit="1" customWidth="1"/>
    <col min="13" max="17" width="15" customWidth="1"/>
    <col min="18" max="18" width="12.5703125" bestFit="1" customWidth="1"/>
    <col min="19" max="21" width="15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80</v>
      </c>
      <c r="F2" t="s">
        <v>73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s="3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s="3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 s="3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79</v>
      </c>
      <c r="E3" t="s">
        <v>80</v>
      </c>
      <c r="F3" t="s">
        <v>73</v>
      </c>
      <c r="G3">
        <v>2.02020202020202E-2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ProjectInventory EvaluatorWIPEntity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2.02020202020202E-2</v>
      </c>
      <c r="P3" s="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>
        <f t="array" ref="S3">MIN(IF((ContinuousStatsTable[GroupByKey]=ContinuousStatsTable[[#This Row],[GroupByKey]]),(ContinuousStatsTable[GroupByKey]=ContinuousStatsTable[[#This Row],[GroupByKey]])*ContinuousStatsTable[Average]))</f>
        <v>2.02020202020202E-2</v>
      </c>
      <c r="T3" s="3">
        <f t="array" ref="T3">MAX(IF((ContinuousStatsTable[GroupByKey]=ContinuousStatsTable[[#This Row],[GroupByKey]]),(ContinuousStatsTable[GroupByKey]=ContinuousStatsTable[[#This Row],[GroupByKey]])*ContinuousStatsTable[Average]))</f>
        <v>2.02020202020202E-2</v>
      </c>
      <c r="U3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3">
    <cfRule type="expression" dxfId="12" priority="9">
      <formula>H2=200000000000000000000</formula>
    </cfRule>
  </conditionalFormatting>
  <conditionalFormatting sqref="H2:H3">
    <cfRule type="expression" dxfId="11" priority="7">
      <formula>H2=300000000000000000000</formula>
    </cfRule>
  </conditionalFormatting>
  <conditionalFormatting sqref="M2:U3">
    <cfRule type="expression" dxfId="10" priority="5">
      <formula>MOD(ROW(),2)=0</formula>
    </cfRule>
  </conditionalFormatting>
  <conditionalFormatting sqref="U2:U3">
    <cfRule type="expression" dxfId="9" priority="3">
      <formula>U2=200000000000000000000</formula>
    </cfRule>
    <cfRule type="expression" dxfId="8" priority="4">
      <formula>U2=300000000000000000000</formula>
    </cfRule>
  </conditionalFormatting>
  <conditionalFormatting sqref="R2:R3 U2:U3">
    <cfRule type="expression" dxfId="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2" width="15" bestFit="1" customWidth="1"/>
    <col min="3" max="3" width="13.42578125" bestFit="1" customWidth="1"/>
    <col min="4" max="4" width="8.7109375" bestFit="1" customWidth="1"/>
    <col min="5" max="5" width="7.7109375" bestFit="1" customWidth="1"/>
    <col min="6" max="6" width="9.42578125" bestFit="1" customWidth="1"/>
    <col min="7" max="7" width="15" bestFit="1" customWidth="1"/>
    <col min="8" max="8" width="14.42578125" bestFit="1" customWidth="1"/>
    <col min="9" max="9" width="15" bestFit="1" customWidth="1"/>
    <col min="10" max="10" width="10.7109375" bestFit="1" customWidth="1"/>
    <col min="11" max="12" width="15" bestFit="1" customWidth="1"/>
    <col min="13" max="13" width="12.5703125" bestFit="1" customWidth="1"/>
    <col min="14" max="14" width="12.140625" bestFit="1" customWidth="1"/>
    <col min="15" max="15" width="12.425781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6" priority="2">
      <formula>MOD(ROW(),2)=0</formula>
    </cfRule>
  </conditionalFormatting>
  <conditionalFormatting sqref="M2">
    <cfRule type="expression" dxfId="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workbookViewId="0">
      <selection activeCell="H13" sqref="H13"/>
    </sheetView>
  </sheetViews>
  <sheetFormatPr defaultRowHeight="15" x14ac:dyDescent="0.25"/>
  <cols>
    <col min="1" max="2" width="15" customWidth="1"/>
    <col min="3" max="3" width="13.42578125" bestFit="1" customWidth="1"/>
    <col min="4" max="4" width="15" customWidth="1"/>
    <col min="5" max="5" width="12.140625" bestFit="1" customWidth="1"/>
    <col min="6" max="6" width="9.42578125" bestFit="1" customWidth="1"/>
    <col min="7" max="7" width="15" customWidth="1"/>
    <col min="8" max="8" width="12.140625" bestFit="1" customWidth="1"/>
    <col min="9" max="10" width="15" customWidth="1"/>
    <col min="11" max="11" width="10.7109375" bestFit="1" customWidth="1"/>
    <col min="12" max="13" width="15" customWidth="1"/>
    <col min="14" max="14" width="12.5703125" bestFit="1" customWidth="1"/>
    <col min="15" max="15" width="12.140625" bestFit="1" customWidth="1"/>
    <col min="16" max="16" width="12.425781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81</v>
      </c>
      <c r="E2" t="s">
        <v>82</v>
      </c>
      <c r="F2" t="s">
        <v>73</v>
      </c>
      <c r="G2">
        <v>100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100</v>
      </c>
      <c r="L2" s="3">
        <f t="array" ref="L2">IFERROR(_xlfn.STDEV.S(IF((OutputTable[GroupByKey]=OutputTable[[#This Row],[GroupByKey]]),(OutputTable[GroupByKey]=OutputTable[[#This Row],[GroupByKey]])*OutputTable[RecordedValue])),0)</f>
        <v>0</v>
      </c>
      <c r="M2" s="3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>
        <f t="array" ref="O2">MIN(IF((OutputTable[GroupByKey]=OutputTable[[#This Row],[GroupByKey]]),(OutputTable[GroupByKey]=OutputTable[[#This Row],[GroupByKey]])*OutputTable[RecordedValue]))</f>
        <v>100</v>
      </c>
      <c r="P2" s="3">
        <f t="array" ref="P2">MAX(IF((OutputTable[GroupByKey]=OutputTable[[#This Row],[GroupByKey]]),(OutputTable[GroupByKey]=OutputTable[[#This Row],[GroupByKey]])*OutputTable[RecordedValue]))</f>
        <v>100</v>
      </c>
    </row>
    <row r="3" spans="1:16" x14ac:dyDescent="0.25">
      <c r="A3" t="s">
        <v>67</v>
      </c>
      <c r="B3" t="s">
        <v>70</v>
      </c>
      <c r="C3">
        <v>1</v>
      </c>
      <c r="D3" t="s">
        <v>83</v>
      </c>
      <c r="E3" t="s">
        <v>84</v>
      </c>
      <c r="F3" t="s">
        <v>73</v>
      </c>
      <c r="G3">
        <v>100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100</v>
      </c>
      <c r="L3" s="3">
        <f t="array" ref="L3">IFERROR(_xlfn.STDEV.S(IF((OutputTable[GroupByKey]=OutputTable[[#This Row],[GroupByKey]]),(OutputTable[GroupByKey]=OutputTable[[#This Row],[GroupByKey]])*OutputTable[RecordedValue])),0)</f>
        <v>0</v>
      </c>
      <c r="M3" s="3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>
        <f t="array" ref="O3">MIN(IF((OutputTable[GroupByKey]=OutputTable[[#This Row],[GroupByKey]]),(OutputTable[GroupByKey]=OutputTable[[#This Row],[GroupByKey]])*OutputTable[RecordedValue]))</f>
        <v>100</v>
      </c>
      <c r="P3" s="3">
        <f t="array" ref="P3">MAX(IF((OutputTable[GroupByKey]=OutputTable[[#This Row],[GroupByKey]]),(OutputTable[GroupByKey]=OutputTable[[#This Row],[GroupByKey]])*OutputTable[RecordedValue]))</f>
        <v>100</v>
      </c>
    </row>
    <row r="4" spans="1:16" x14ac:dyDescent="0.25">
      <c r="A4" t="s">
        <v>67</v>
      </c>
      <c r="B4" t="s">
        <v>70</v>
      </c>
      <c r="C4">
        <v>1</v>
      </c>
      <c r="D4" t="s">
        <v>85</v>
      </c>
      <c r="E4" t="s">
        <v>82</v>
      </c>
      <c r="F4" t="s">
        <v>73</v>
      </c>
      <c r="G4">
        <v>100</v>
      </c>
      <c r="H4">
        <v>0</v>
      </c>
      <c r="I4" t="str">
        <f>OutputTable[[#This Row],[ProjectName]]&amp;OutputTable[[#This Row],[Name]]&amp;OutputTable[[#This Row],[Type]]&amp;OutputTable[[#This Row],[Source]]</f>
        <v>Unnamed ProjectInventory Evaluator.NumberInNumber InEntity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100</v>
      </c>
      <c r="L4" s="3">
        <f t="array" ref="L4">IFERROR(_xlfn.STDEV.S(IF((OutputTable[GroupByKey]=OutputTable[[#This Row],[GroupByKey]]),(OutputTable[GroupByKey]=OutputTable[[#This Row],[GroupByKey]])*OutputTable[RecordedValue])),0)</f>
        <v>0</v>
      </c>
      <c r="M4" s="3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>
        <f t="array" ref="O4">MIN(IF((OutputTable[GroupByKey]=OutputTable[[#This Row],[GroupByKey]]),(OutputTable[GroupByKey]=OutputTable[[#This Row],[GroupByKey]])*OutputTable[RecordedValue]))</f>
        <v>100</v>
      </c>
      <c r="P4" s="3">
        <f t="array" ref="P4">MAX(IF((OutputTable[GroupByKey]=OutputTable[[#This Row],[GroupByKey]]),(OutputTable[GroupByKey]=OutputTable[[#This Row],[GroupByKey]])*OutputTable[RecordedValue]))</f>
        <v>100</v>
      </c>
    </row>
    <row r="5" spans="1:16" x14ac:dyDescent="0.25">
      <c r="A5" t="s">
        <v>67</v>
      </c>
      <c r="B5" t="s">
        <v>70</v>
      </c>
      <c r="C5">
        <v>1</v>
      </c>
      <c r="D5" t="s">
        <v>86</v>
      </c>
      <c r="E5" t="s">
        <v>84</v>
      </c>
      <c r="F5" t="s">
        <v>73</v>
      </c>
      <c r="G5">
        <v>100</v>
      </c>
      <c r="H5">
        <v>0</v>
      </c>
      <c r="I5" t="str">
        <f>OutputTable[[#This Row],[ProjectName]]&amp;OutputTable[[#This Row],[Name]]&amp;OutputTable[[#This Row],[Type]]&amp;OutputTable[[#This Row],[Source]]</f>
        <v>Unnamed ProjectInventory Evaluator.NumberOutNumber OutEntity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100</v>
      </c>
      <c r="L5" s="3">
        <f t="array" ref="L5">IFERROR(_xlfn.STDEV.S(IF((OutputTable[GroupByKey]=OutputTable[[#This Row],[GroupByKey]]),(OutputTable[GroupByKey]=OutputTable[[#This Row],[GroupByKey]])*OutputTable[RecordedValue])),0)</f>
        <v>0</v>
      </c>
      <c r="M5" s="3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>
        <f t="array" ref="O5">MIN(IF((OutputTable[GroupByKey]=OutputTable[[#This Row],[GroupByKey]]),(OutputTable[GroupByKey]=OutputTable[[#This Row],[GroupByKey]])*OutputTable[RecordedValue]))</f>
        <v>100</v>
      </c>
      <c r="P5" s="3">
        <f t="array" ref="P5">MAX(IF((OutputTable[GroupByKey]=OutputTable[[#This Row],[GroupByKey]]),(OutputTable[GroupByKey]=OutputTable[[#This Row],[GroupByKey]])*OutputTable[RecordedValue]))</f>
        <v>100</v>
      </c>
    </row>
    <row r="6" spans="1:16" x14ac:dyDescent="0.25">
      <c r="A6" t="s">
        <v>67</v>
      </c>
      <c r="B6" t="s">
        <v>70</v>
      </c>
      <c r="C6">
        <v>1</v>
      </c>
      <c r="D6" t="s">
        <v>87</v>
      </c>
      <c r="E6" t="s">
        <v>84</v>
      </c>
      <c r="F6" t="s">
        <v>88</v>
      </c>
      <c r="G6">
        <v>200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200</v>
      </c>
      <c r="L6" s="3">
        <f t="array" ref="L6">IFERROR(_xlfn.STDEV.S(IF((OutputTable[GroupByKey]=OutputTable[[#This Row],[GroupByKey]]),(OutputTable[GroupByKey]=OutputTable[[#This Row],[GroupByKey]])*OutputTable[RecordedValue])),0)</f>
        <v>0</v>
      </c>
      <c r="M6" s="3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>
        <f t="array" ref="O6">MIN(IF((OutputTable[GroupByKey]=OutputTable[[#This Row],[GroupByKey]]),(OutputTable[GroupByKey]=OutputTable[[#This Row],[GroupByKey]])*OutputTable[RecordedValue]))</f>
        <v>200</v>
      </c>
      <c r="P6" s="3">
        <f t="array" ref="P6">MAX(IF((OutputTable[GroupByKey]=OutputTable[[#This Row],[GroupByKey]]),(OutputTable[GroupByKey]=OutputTable[[#This Row],[GroupByKey]])*OutputTable[RecordedValue]))</f>
        <v>200</v>
      </c>
    </row>
  </sheetData>
  <phoneticPr fontId="2" type="noConversion"/>
  <conditionalFormatting sqref="I2:P6">
    <cfRule type="expression" dxfId="4" priority="2">
      <formula>MOD(ROW(),2)=0</formula>
    </cfRule>
  </conditionalFormatting>
  <conditionalFormatting sqref="N2:N6">
    <cfRule type="expression" dxfId="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5"/>
  <sheetViews>
    <sheetView workbookViewId="0">
      <selection activeCell="A2" sqref="A2"/>
    </sheetView>
  </sheetViews>
  <sheetFormatPr defaultRowHeight="15" x14ac:dyDescent="0.25"/>
  <cols>
    <col min="1" max="2" width="15" customWidth="1"/>
    <col min="3" max="3" width="13.42578125" bestFit="1" customWidth="1"/>
    <col min="4" max="4" width="8.7109375" bestFit="1" customWidth="1"/>
    <col min="5" max="5" width="11.28515625" bestFit="1" customWidth="1"/>
    <col min="6" max="6" width="9.42578125" customWidth="1"/>
    <col min="7" max="11" width="15" customWidth="1"/>
    <col min="12" max="12" width="14.42578125" customWidth="1"/>
    <col min="13" max="17" width="15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23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s="3" t="s">
        <v>48</v>
      </c>
      <c r="O1" s="3" t="s">
        <v>60</v>
      </c>
      <c r="P1" s="3" t="s">
        <v>29</v>
      </c>
      <c r="Q1" s="3" t="s">
        <v>34</v>
      </c>
      <c r="R1" s="3"/>
      <c r="S1" s="3"/>
      <c r="T1" s="3"/>
      <c r="U1" s="3"/>
      <c r="V1" s="3"/>
      <c r="W1" s="3"/>
    </row>
    <row r="2" spans="1:23" x14ac:dyDescent="0.25">
      <c r="H2" s="3"/>
      <c r="R2" s="3"/>
      <c r="S2" s="3"/>
      <c r="T2" s="3"/>
      <c r="U2" s="3"/>
      <c r="V2" s="3"/>
      <c r="W2" s="3"/>
    </row>
    <row r="3" spans="1:23" x14ac:dyDescent="0.25">
      <c r="R3" s="3"/>
      <c r="S3" s="3"/>
      <c r="T3" s="3"/>
      <c r="U3" s="3"/>
      <c r="V3" s="3"/>
      <c r="W3" s="3"/>
    </row>
    <row r="4" spans="1:23" x14ac:dyDescent="0.25">
      <c r="R4" s="3"/>
      <c r="S4" s="3"/>
      <c r="T4" s="3"/>
      <c r="U4" s="3"/>
      <c r="V4" s="3"/>
      <c r="W4" s="3"/>
    </row>
    <row r="5" spans="1:23" x14ac:dyDescent="0.25">
      <c r="R5" s="3"/>
      <c r="S5" s="3"/>
      <c r="T5" s="3"/>
      <c r="U5" s="3"/>
      <c r="V5" s="3"/>
      <c r="W5" s="3"/>
    </row>
    <row r="6" spans="1:23" x14ac:dyDescent="0.25">
      <c r="R6" s="3"/>
      <c r="S6" s="3"/>
      <c r="T6" s="3"/>
      <c r="U6" s="3"/>
      <c r="V6" s="3"/>
      <c r="W6" s="3"/>
    </row>
    <row r="7" spans="1:23" x14ac:dyDescent="0.25">
      <c r="R7" s="3"/>
      <c r="S7" s="3"/>
      <c r="T7" s="3"/>
      <c r="U7" s="3"/>
      <c r="V7" s="3"/>
      <c r="W7" s="3"/>
    </row>
    <row r="8" spans="1:23" x14ac:dyDescent="0.25">
      <c r="R8" s="3"/>
      <c r="S8" s="3"/>
      <c r="T8" s="3"/>
      <c r="U8" s="3"/>
      <c r="V8" s="3"/>
      <c r="W8" s="3"/>
    </row>
    <row r="9" spans="1:23" x14ac:dyDescent="0.25">
      <c r="R9" s="3"/>
      <c r="S9" s="3"/>
      <c r="T9" s="3"/>
      <c r="U9" s="3"/>
      <c r="V9" s="3"/>
      <c r="W9" s="3"/>
    </row>
    <row r="10" spans="1:23" x14ac:dyDescent="0.25">
      <c r="R10" s="3"/>
      <c r="S10" s="3"/>
      <c r="T10" s="3"/>
      <c r="U10" s="3"/>
      <c r="V10" s="3"/>
      <c r="W10" s="3"/>
    </row>
    <row r="11" spans="1:23" x14ac:dyDescent="0.25">
      <c r="R11" s="3"/>
      <c r="S11" s="3"/>
      <c r="T11" s="3"/>
      <c r="U11" s="3"/>
      <c r="V11" s="3"/>
      <c r="W11" s="3"/>
    </row>
    <row r="12" spans="1:23" x14ac:dyDescent="0.25">
      <c r="R12" s="3"/>
      <c r="S12" s="3"/>
      <c r="T12" s="3"/>
      <c r="U12" s="3"/>
      <c r="V12" s="3"/>
      <c r="W12" s="3"/>
    </row>
    <row r="13" spans="1:23" x14ac:dyDescent="0.25">
      <c r="R13" s="3"/>
      <c r="S13" s="3"/>
      <c r="T13" s="3"/>
      <c r="U13" s="3"/>
      <c r="V13" s="3"/>
      <c r="W13" s="3"/>
    </row>
    <row r="17" spans="2:23" x14ac:dyDescent="0.25">
      <c r="B17" s="5"/>
      <c r="N17" s="3"/>
      <c r="O17" s="3"/>
      <c r="P17" s="3"/>
      <c r="Q17" s="3"/>
    </row>
    <row r="18" spans="2:23" x14ac:dyDescent="0.25">
      <c r="B18" s="5"/>
    </row>
    <row r="19" spans="2:23" x14ac:dyDescent="0.25">
      <c r="B19" s="5"/>
    </row>
    <row r="20" spans="2:23" x14ac:dyDescent="0.25">
      <c r="B20" s="5"/>
    </row>
    <row r="21" spans="2:23" x14ac:dyDescent="0.25">
      <c r="B21" s="5"/>
    </row>
    <row r="22" spans="2:23" x14ac:dyDescent="0.25">
      <c r="B22" s="5"/>
    </row>
    <row r="23" spans="2:23" x14ac:dyDescent="0.25">
      <c r="B23" s="5"/>
    </row>
    <row r="24" spans="2:23" x14ac:dyDescent="0.25">
      <c r="B24" s="5"/>
    </row>
    <row r="25" spans="2:23" x14ac:dyDescent="0.25">
      <c r="B25" s="5"/>
    </row>
    <row r="26" spans="2:23" x14ac:dyDescent="0.25">
      <c r="B26" s="5"/>
    </row>
    <row r="27" spans="2:23" x14ac:dyDescent="0.25">
      <c r="B27" s="5"/>
    </row>
    <row r="28" spans="2:23" x14ac:dyDescent="0.25">
      <c r="B28" s="5"/>
    </row>
    <row r="29" spans="2:23" x14ac:dyDescent="0.25">
      <c r="B29" s="5"/>
    </row>
    <row r="30" spans="2:23" x14ac:dyDescent="0.25">
      <c r="B30" s="5"/>
    </row>
    <row r="31" spans="2:23" x14ac:dyDescent="0.25">
      <c r="B31" s="5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45" spans="18:23" x14ac:dyDescent="0.25">
      <c r="R45" s="3"/>
      <c r="S45" s="3"/>
      <c r="T45" s="3"/>
      <c r="U45" s="3"/>
      <c r="V45" s="3"/>
      <c r="W45" s="3"/>
    </row>
  </sheetData>
  <phoneticPr fontId="2" type="noConversion"/>
  <conditionalFormatting sqref="L17:Q17 R45:W45 L31:W31 L1:Q2">
    <cfRule type="expression" dxfId="2" priority="3">
      <formula>MOD(ROW(),2)=0</formula>
    </cfRule>
  </conditionalFormatting>
  <conditionalFormatting sqref="H2">
    <cfRule type="expression" dxfId="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PCS</cp:lastModifiedBy>
  <cp:lastPrinted>2022-03-22T10:33:10Z</cp:lastPrinted>
  <dcterms:created xsi:type="dcterms:W3CDTF">2020-06-29T21:30:31Z</dcterms:created>
  <dcterms:modified xsi:type="dcterms:W3CDTF">2024-01-09T00:02:00Z</dcterms:modified>
</cp:coreProperties>
</file>