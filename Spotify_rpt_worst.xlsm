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CE8D,haseeb javed, 129\(CE-407) Simulation Modeling\Project\"/>
    </mc:Choice>
  </mc:AlternateContent>
  <bookViews>
    <workbookView xWindow="0" yWindow="60" windowWidth="23040" windowHeight="11070" tabRatio="790" firstSheet="1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ContinuousTimeStatsByRep!$A$1:$L$28</definedName>
    <definedName name="ExternalData_1" localSheetId="4" hidden="1">CounterStatsByRep!$A$1:$G$2</definedName>
    <definedName name="ExternalData_1" localSheetId="2" hidden="1">DiscreteTimeStatsByRep!$A$1:$K$13</definedName>
    <definedName name="ExternalData_1" localSheetId="6" hidden="1">FrequencyStatsByRep!$A$1:$K$2</definedName>
    <definedName name="ExternalData_1" localSheetId="5" hidden="1">OutputStatsByRep!$A$1:$H$32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52511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O2" i="20" a="1"/>
  <c r="O2" i="20" s="1"/>
  <c r="O3" i="20" a="1"/>
  <c r="O3" i="20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X9" i="17" a="1"/>
  <c r="X9" i="17" s="1"/>
  <c r="X10" i="17" a="1"/>
  <c r="X10" i="17" s="1"/>
  <c r="X11" i="17" a="1"/>
  <c r="X11" i="17" s="1"/>
  <c r="X12" i="17" a="1"/>
  <c r="X12" i="17" s="1"/>
  <c r="X13" i="17" a="1"/>
  <c r="X13" i="17" s="1"/>
  <c r="G2" i="16"/>
  <c r="N32" i="20" l="1"/>
  <c r="N30" i="20"/>
  <c r="N26" i="20"/>
  <c r="N22" i="20"/>
  <c r="N18" i="20"/>
  <c r="N14" i="20"/>
  <c r="N10" i="20"/>
  <c r="N6" i="20"/>
  <c r="N2" i="20"/>
  <c r="N29" i="20"/>
  <c r="N25" i="20"/>
  <c r="N21" i="20"/>
  <c r="N17" i="20"/>
  <c r="N13" i="20"/>
  <c r="N9" i="20"/>
  <c r="N5" i="20"/>
  <c r="N28" i="20"/>
  <c r="N24" i="20"/>
  <c r="N20" i="20"/>
  <c r="N16" i="20"/>
  <c r="N12" i="20"/>
  <c r="N8" i="20"/>
  <c r="N4" i="20"/>
  <c r="N31" i="20"/>
  <c r="N27" i="20"/>
  <c r="N23" i="20"/>
  <c r="N19" i="20"/>
  <c r="N15" i="20"/>
  <c r="N11" i="20"/>
  <c r="N7" i="20"/>
  <c r="N3" i="20"/>
  <c r="U26" i="18"/>
  <c r="R26" i="18"/>
  <c r="U22" i="18"/>
  <c r="R22" i="18"/>
  <c r="U18" i="18"/>
  <c r="R18" i="18"/>
  <c r="U14" i="18"/>
  <c r="R14" i="18"/>
  <c r="U10" i="18"/>
  <c r="R10" i="18"/>
  <c r="U6" i="18"/>
  <c r="R6" i="18"/>
  <c r="U2" i="18"/>
  <c r="R2" i="18"/>
  <c r="U25" i="18"/>
  <c r="R25" i="18"/>
  <c r="U21" i="18"/>
  <c r="R21" i="18"/>
  <c r="U17" i="18"/>
  <c r="R17" i="18"/>
  <c r="U13" i="18"/>
  <c r="R13" i="18"/>
  <c r="U9" i="18"/>
  <c r="R9" i="18"/>
  <c r="U5" i="18"/>
  <c r="R5" i="18"/>
  <c r="U28" i="18"/>
  <c r="R28" i="18"/>
  <c r="U24" i="18"/>
  <c r="R24" i="18"/>
  <c r="U20" i="18"/>
  <c r="R20" i="18"/>
  <c r="U16" i="18"/>
  <c r="R16" i="18"/>
  <c r="U12" i="18"/>
  <c r="R12" i="18"/>
  <c r="U8" i="18"/>
  <c r="R8" i="18"/>
  <c r="U4" i="18"/>
  <c r="R4" i="18"/>
  <c r="R27" i="18"/>
  <c r="U27" i="18"/>
  <c r="R23" i="18"/>
  <c r="U23" i="18"/>
  <c r="R19" i="18"/>
  <c r="U19" i="18"/>
  <c r="R15" i="18"/>
  <c r="U15" i="18"/>
  <c r="R11" i="18"/>
  <c r="U11" i="18"/>
  <c r="R7" i="18"/>
  <c r="U7" i="18"/>
  <c r="R3" i="18"/>
  <c r="U3" i="18"/>
  <c r="W13" i="17"/>
  <c r="Y13" i="17"/>
  <c r="Q13" i="17" s="1"/>
  <c r="W9" i="17"/>
  <c r="Y9" i="17"/>
  <c r="Q9" i="17" s="1"/>
  <c r="W5" i="17"/>
  <c r="Y5" i="17"/>
  <c r="Q5" i="17" s="1"/>
  <c r="W3" i="17"/>
  <c r="Y3" i="17"/>
  <c r="Q3" i="17" s="1"/>
  <c r="W12" i="17"/>
  <c r="Y12" i="17"/>
  <c r="Q12" i="17" s="1"/>
  <c r="W8" i="17"/>
  <c r="Y8" i="17"/>
  <c r="Q8" i="17" s="1"/>
  <c r="W4" i="17"/>
  <c r="Y4" i="17"/>
  <c r="Q4" i="17" s="1"/>
  <c r="W11" i="17"/>
  <c r="Y11" i="17"/>
  <c r="Q11" i="17" s="1"/>
  <c r="W7" i="17"/>
  <c r="Y7" i="17"/>
  <c r="Q7" i="17" s="1"/>
  <c r="W10" i="17"/>
  <c r="Y10" i="17"/>
  <c r="Q10" i="17" s="1"/>
  <c r="W6" i="17"/>
  <c r="Y6" i="17"/>
  <c r="Q6" i="17" s="1"/>
  <c r="W2" i="17"/>
  <c r="Y2" i="17"/>
  <c r="Q2" i="17" s="1"/>
</calcChain>
</file>

<file path=xl/connections.xml><?xml version="1.0" encoding="utf-8"?>
<connections xmlns="http://schemas.openxmlformats.org/spreadsheetml/2006/main">
  <connection id="1" name="Connection" type="1" refreshedVersion="5" saveData="1">
    <dbPr connection="Driver={SQLite3 ODBC Driver};Database=f:\ce8d,haseeb javed, 129\(ce-407) simulation modeling\project\spotify.db;StepAPI=;SyncPragma=;NoTXN=;Timeout=;ShortNames=;LongNames=;NoCreat=;NoWCHAR=;FKSupport=;JournalMode=;OEMCP=;LoadExt=;BigInt=;JDConv=;" command="select * from FrequencyStatsQuery"/>
  </connection>
  <connection id="2" name="Connection1" type="1" refreshedVersion="5" saveData="1">
    <dbPr connection="Driver={SQLite3 ODBC Driver};Database=f:\ce8d,haseeb javed, 129\(ce-407) simulation modeling\project\spotify.db;StepAPI=;SyncPragma=;NoTXN=;Timeout=;ShortNames=;LongNames=;NoCreat=;NoWCHAR=;FKSupport=;JournalMode=;OEMCP=;LoadExt=;BigInt=;JDConv=;" command="select * from ProjectQuery"/>
  </connection>
  <connection id="3" name="Connection2" type="1" refreshedVersion="5" saveData="1">
    <dbPr connection="Driver={SQLite3 ODBC Driver};Database=f:\ce8d,haseeb javed, 129\(ce-407) simulation modeling\project\spotify.db;StepAPI=;SyncPragma=;NoTXN=;Timeout=;ShortNames=;LongNames=;NoCreat=;NoWCHAR=;FKSupport=;JournalMode=;OEMCP=;LoadExt=;BigInt=;JDConv=;" command="select * from DiscreteTimeStatsQuery"/>
  </connection>
  <connection id="4" name="Connection3" type="1" refreshedVersion="5" saveData="1">
    <dbPr connection="Driver={SQLite3 ODBC Driver};Database=f:\ce8d,haseeb javed, 129\(ce-407) simulation modeling\project\spotify.db;StepAPI=;SyncPragma=;NoTXN=;Timeout=;ShortNames=;LongNames=;NoCreat=;NoWCHAR=;FKSupport=;JournalMode=;OEMCP=;LoadExt=;BigInt=;JDConv=;" command="select * from ContinuousTimeStatsQuery"/>
  </connection>
  <connection id="5" name="Connection4" type="1" refreshedVersion="5" saveData="1">
    <dbPr connection="Driver={SQLite3 ODBC Driver};Database=f:\ce8d,haseeb javed, 129\(ce-407) simulation modeling\project\spotify.db;StepAPI=;SyncPragma=;NoTXN=;Timeout=;ShortNames=;LongNames=;NoCreat=;NoWCHAR=;FKSupport=;JournalMode=;OEMCP=;LoadExt=;BigInt=;JDConv=;" command="select * from CounterStatsQuery"/>
  </connection>
  <connection id="6" name="Connection5" type="1" refreshedVersion="5" saveData="1">
    <dbPr connection="Driver={SQLite3 ODBC Driver};Database=f:\ce8d,haseeb javed, 129\(ce-407) simulation modeling\project\spotify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<sst xmlns="http://schemas.openxmlformats.org/spreadsheetml/2006/main" count="717" uniqueCount="143">
  <si>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</si>
  <si>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</si>
  <si>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</si>
  <si>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</si>
  <si>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</si>
  <si>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</si>
  <si>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</si>
  <si>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</si>
  <si>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</si>
  <si>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</si>
  <si>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</si>
  <si>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</si>
  <si>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</si>
  <si>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</si>
  <si>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</si>
  <si>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</si>
  <si>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</si>
  <si>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</si>
  <si>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</si>
  <si>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</si>
  <si>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</si>
  <si>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</si>
  <si>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</si>
  <si>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</si>
  <si>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</si>
  <si>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</si>
  <si>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</si>
  <si>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</si>
  <si>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</si>
  <si>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</si>
  <si>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</si>
  <si>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</si>
  <si>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</si>
  <si>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</si>
  <si>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</si>
  <si>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</si>
  <si>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</si>
  <si>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</si>
  <si>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</si>
  <si>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</si>
  <si>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</si>
  <si>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</si>
  <si>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</si>
  <si>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</si>
  <si>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</si>
  <si>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</si>
  <si>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</si>
  <si>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</si>
  <si>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</si>
  <si>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</si>
  <si>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</si>
  <si>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</si>
  <si>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</si>
  <si>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</si>
  <si>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</si>
  <si>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</si>
  <si>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</si>
  <si>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</si>
  <si>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</si>
  <si>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</si>
  <si>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</si>
  <si>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</si>
  <si>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</si>
  <si>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</si>
  <si>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</si>
  <si>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</si>
  <si>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</si>
  <si>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</si>
  <si>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</si>
  <si>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F:\CE8D,haseeb javed, 129\(CE-407) Simulation Modeling\Project\Spotify.p</t>
  </si>
  <si>
    <t>2024-01-13 22:42:59</t>
  </si>
  <si>
    <t>Add Songs.Queue</t>
  </si>
  <si>
    <t>Waiting Time</t>
  </si>
  <si>
    <t>Queue</t>
  </si>
  <si>
    <t>Delay.Queue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</si>
  <si>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</si>
  <si>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</si>
  <si>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</si>
  <si>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</si>
  <si>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</si>
  <si>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</si>
  <si>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</si>
  <si>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</si>
  <si>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Featured Charts.Queue</t>
  </si>
  <si>
    <t>Liked Songs.Queue</t>
  </si>
  <si>
    <t>STREAM.Queue</t>
  </si>
  <si>
    <t>Streaming Server.Queue</t>
  </si>
  <si>
    <t>Number Waiting</t>
  </si>
  <si>
    <t>Adele</t>
  </si>
  <si>
    <t>WIP</t>
  </si>
  <si>
    <t>Ali Zafar</t>
  </si>
  <si>
    <t>App Server</t>
  </si>
  <si>
    <t>Instantaneous Utilization</t>
  </si>
  <si>
    <t>Resource</t>
  </si>
  <si>
    <t>Number Busy</t>
  </si>
  <si>
    <t>Number Scheduled</t>
  </si>
  <si>
    <t>Asim Azhar</t>
  </si>
  <si>
    <t>Atif Aslam</t>
  </si>
  <si>
    <t>Bhomeia</t>
  </si>
  <si>
    <t>Conan Gray</t>
  </si>
  <si>
    <t>Harry Styles</t>
  </si>
  <si>
    <t>Imran Khan</t>
  </si>
  <si>
    <t>Kaifi Khalil</t>
  </si>
  <si>
    <t>Resource 1</t>
  </si>
  <si>
    <t>Talha Anjum</t>
  </si>
  <si>
    <t>Talha Yunus</t>
  </si>
  <si>
    <t>counter</t>
  </si>
  <si>
    <t>Adele.NumberIn</t>
  </si>
  <si>
    <t>Number In</t>
  </si>
  <si>
    <t>Adele.NumberOut</t>
  </si>
  <si>
    <t>Number Out</t>
  </si>
  <si>
    <t>Ali Zafar.NumberIn</t>
  </si>
  <si>
    <t>Ali Zafar.NumberOut</t>
  </si>
  <si>
    <t>App Server.NumberSeized</t>
  </si>
  <si>
    <t>Total Number Seized</t>
  </si>
  <si>
    <t>App Server.ScheduledUtilization</t>
  </si>
  <si>
    <t>Scheduled Utilization</t>
  </si>
  <si>
    <t>Asim Azhar.NumberIn</t>
  </si>
  <si>
    <t>Asim Azhar.NumberOut</t>
  </si>
  <si>
    <t>Atif Aslam.NumberIn</t>
  </si>
  <si>
    <t>Atif Aslam.NumberOut</t>
  </si>
  <si>
    <t>Bhomeia.NumberIn</t>
  </si>
  <si>
    <t>Bhomeia.NumberOut</t>
  </si>
  <si>
    <t>Conan Gray.NumberIn</t>
  </si>
  <si>
    <t>Conan Gray.NumberOut</t>
  </si>
  <si>
    <t>Entity 1.NumberIn</t>
  </si>
  <si>
    <t>Entity 1.NumberOut</t>
  </si>
  <si>
    <t>Harry Styles.NumberIn</t>
  </si>
  <si>
    <t>Harry Styles.NumberOut</t>
  </si>
  <si>
    <t>Imran Khan.NumberIn</t>
  </si>
  <si>
    <t>Imran Khan.NumberOut</t>
  </si>
  <si>
    <t>Kaifi Khalil.NumberIn</t>
  </si>
  <si>
    <t>Kaifi Khalil.NumberOut</t>
  </si>
  <si>
    <t>Resource 1.NumberSeized</t>
  </si>
  <si>
    <t>Resource 1.ScheduledUtilization</t>
  </si>
  <si>
    <t>System.NumberOut</t>
  </si>
  <si>
    <t>System</t>
  </si>
  <si>
    <t>Talha Anjum.NumberIn</t>
  </si>
  <si>
    <t>Talha Anjum.NumberOut</t>
  </si>
  <si>
    <t>Talha Yunus.NumberIn</t>
  </si>
  <si>
    <t>Talha Yunus.NumberOut</t>
  </si>
  <si>
    <t>counter.NumberSeized</t>
  </si>
  <si>
    <t>counter.ScheduledUtilization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</si>
</sst>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6"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S" refreshedDate="45304.946605555553" createdVersion="7" refreshedVersion="5" minRefreshableVersion="3" recordCount="12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5">
        <s v="Add Songs.Queue"/>
        <s v="Delay.Queue"/>
        <s v="Entity 1"/>
        <s v="Featured Charts.Queue"/>
        <s v="Liked Songs.Queue"/>
        <s v="STREAM.Queue"/>
        <s v="Streaming Server.Queue"/>
        <m u="1"/>
        <s v="Match 4.Queue1" u="1"/>
        <s v="Processing Post 3.Queue" u="1"/>
        <s v="Peptone LS Bin Blender 6.Queue" u="1"/>
        <s v="Weighroom 4.Queue" u="1"/>
        <s v="Load Mill 14.Queue" u="1"/>
        <s v="e_batch" u="1"/>
        <s v="Match 2.Queue2" u="1"/>
        <s v="Match 5.Queue1" u="1"/>
        <s v="Load Mill 5.Queue" u="1"/>
        <s v="CIP V Blender 3.Queue" u="1"/>
        <s v="CIP Large Pin.Queue" u="1"/>
        <s v="Process Part Type 2 on Prep2.Queue" u="1"/>
        <s v="Match 13.Queue1" u="1"/>
        <s v="DPM SS Bin Blender 3.Queue" u="1"/>
        <s v="Match 3.Queue2" u="1"/>
        <s v="Match 6.Queue1" u="1"/>
        <s v="Weighroom 5.Queue" u="1"/>
        <s v="Seize shared resource.Queue" u="1"/>
        <s v="Part Type 1" u="1"/>
        <s v="Peptone LS Bin Blender 5.Queue" u="1"/>
        <s v="Match 4.Queue2" u="1"/>
        <s v="Match 7.Queue1" u="1"/>
        <s v="Manual.Queue" u="1"/>
        <s v="Tub Cleaning.Queue" u="1"/>
        <s v="CIP V Blender 8.Queue" u="1"/>
        <s v="Match 5.Queue2" u="1"/>
        <s v="Weighroom.Queue" u="1"/>
        <s v="Weighroom 6.Queue" u="1"/>
        <s v="Load Mill 16.Queue" u="1"/>
        <s v="Processing Post 2.Queue" u="1"/>
        <s v="Tally 1" u="1"/>
        <s v="Peca" u="1"/>
        <s v="Part Type 2" u="1"/>
        <s v="Match 6.Queue2" u="1"/>
        <s v="Match 9.Queue1" u="1"/>
        <s v="Load Mill 7.Queue" u="1"/>
        <s v="CIP V Blender 4.Queue" u="1"/>
        <s v="Peptone LS Bin Blender 4.Queue" u="1"/>
        <s v="Peptone SS Bin Blender 4.Queue" u="1"/>
        <s v="Match 13.Queue2" u="1"/>
        <s v="Match 7.Queue2" u="1"/>
        <s v="Servo CIP.Queue" u="1"/>
        <s v="Weighroom 7.Queue" u="1"/>
        <s v="Load Mill.Queue" u="1"/>
        <s v="ABFL.Queue" u="1"/>
        <s v="Seize Machine And Operator.Queue" u="1"/>
        <s v="Process Part Type 1 on Prep1.Queue" u="1"/>
        <s v="Load Mill 8.Queue" u="1"/>
        <s v="Load Mill 13.Queue" u="1"/>
        <s v="Match 9.Queue2" u="1"/>
        <s v="Weighroom 8.Queue" u="1"/>
        <s v="Peptone SS Bin Blender 3.Queue" u="1"/>
        <s v="Tub Cleaning" u="1"/>
        <s v="Processing Post 1.Queue" u="1"/>
        <s v="Match 11.Queue1" u="1"/>
        <s v="Process Part Type 2 on Prep2" u="1"/>
        <s v="Peptone LS Bin Blender.Queue" u="1"/>
        <s v="Peptone SS Bin Blender.Queue" u="1"/>
        <s v="Seize 40.Queue" u="1"/>
        <s v="Load Mill 9.Queue" u="1"/>
        <s v="DPM SS Bin Blender 4.Queue" u="1"/>
        <s v="Seize Pin Mill Weigh Room.Queue" u="1"/>
        <s v="Production Time" u="1"/>
        <s v="Process Packaging.Queue" u="1"/>
        <s v="CIP Large Fitz.Queue" u="1"/>
        <s v="Seize Operator.Queue" u="1"/>
        <s v="Load Mill 10.Queue" u="1"/>
        <s v="DPM SS Bin Blender.Queue" u="1"/>
        <s v="Peptone LS Bin Blender 2.Queue" u="1"/>
        <s v="Peptone SS Bin Blender 2.Queue" u="1"/>
        <s v="Load Mill 15.Queue" u="1"/>
        <s v="E 1" u="1"/>
        <s v="Peptone LS V Blender 2.Queue" u="1"/>
        <s v="E 2" u="1"/>
        <s v="Process Packaging" u="1"/>
        <s v="Peptone LS V Blender 3.Queue" u="1"/>
        <s v="Servo.Queue" u="1"/>
        <s v="Match 11.Queue2" u="1"/>
        <s v="Load Mill 2.Queue" u="1"/>
        <s v="Record Cycle Time" u="1"/>
        <s v="Processing Post 4.Queue" u="1"/>
        <s v="Peptone LS V Blender.Queue" u="1"/>
        <s v="Weighroom 2.Queue" u="1"/>
        <s v="Peptone LS V Blender 7.Queue" u="1"/>
        <s v="Process Part Type 1 on Prep1" u="1"/>
        <s v="Load Mill 12.Queue" u="1"/>
        <s v="CIP V Blender.Queue" u="1"/>
        <s v="Seize LS V Blender 8.Queue" u="1"/>
        <s v="Load Mill 3.Queue" u="1"/>
        <s v="CIP V Blender 2.Queue" u="1"/>
        <s v="Enter the Belt.Queue" u="1"/>
        <s v="Match 2.Queue1" u="1"/>
        <s v="Seize Fitz Mill Weigh Room.Queue" u="1"/>
        <s v="Weighroom 3.Queue" u="1"/>
        <s v="Match 3.Queue1" u="1"/>
        <s v="Seize Bin Blender.Queue" u="1"/>
        <s v="Load Mill 4.Queue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Wait Time Per Entity" u="1"/>
        <s v="VA Time Per Entity" u="1"/>
        <s v="Interval" u="1"/>
        <s v="Total Time Per Entity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0.657617348435419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83486377212034E-2"/>
    </cacheField>
    <cacheField name="Maximum" numFmtId="0">
      <sharedItems containsSemiMixedTypes="0" containsString="0" containsNumber="1" minValue="0" maxValue="3.87245110083721"/>
    </cacheField>
    <cacheField name="NumberObservations" numFmtId="0">
      <sharedItems containsSemiMixedTypes="0" containsString="0" containsNumber="1" containsInteger="1" minValue="22" maxValue="14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6576173484354199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65761734843541997"/>
    </cacheField>
    <cacheField name="MaximumAverage" numFmtId="0">
      <sharedItems containsSemiMixedTypes="0" containsString="0" containsNumber="1" minValue="0" maxValue="0.65761734843541997"/>
    </cacheField>
    <cacheField name="OverallMinimum" numFmtId="0">
      <sharedItems containsSemiMixedTypes="0" containsString="0" containsNumber="1" minValue="0" maxValue="1.83486377212034E-2"/>
    </cacheField>
    <cacheField name="OverallMaximum" numFmtId="0">
      <sharedItems containsSemiMixedTypes="0" containsString="0" containsNumber="1" minValue="0" maxValue="3.87245110083721"/>
    </cacheField>
    <cacheField name="AverageNumberObservations" numFmtId="0">
      <sharedItems containsSemiMixedTypes="0" containsString="0" containsNumber="1" containsInteger="1" minValue="22" maxValue="14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CS" refreshedDate="45304.946605555553" createdVersion="7" refreshedVersion="5" minRefreshableVersion="3" recordCount="31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5">
        <s v="Adele.NumberIn"/>
        <s v="Adele.NumberOut"/>
        <s v="Ali Zafar.NumberIn"/>
        <s v="Ali Zafar.NumberOut"/>
        <s v="App Server.NumberSeized"/>
        <s v="App Server.ScheduledUtilization"/>
        <s v="Asim Azhar.NumberIn"/>
        <s v="Asim Azhar.NumberOut"/>
        <s v="Atif Aslam.NumberIn"/>
        <s v="Atif Aslam.NumberOut"/>
        <s v="Bhomeia.NumberIn"/>
        <s v="Bhomeia.NumberOut"/>
        <s v="Conan Gray.NumberIn"/>
        <s v="Conan Gray.NumberOut"/>
        <s v="Entity 1.NumberIn"/>
        <s v="Entity 1.NumberOut"/>
        <s v="Harry Styles.NumberIn"/>
        <s v="Harry Styles.NumberOut"/>
        <s v="Imran Khan.NumberIn"/>
        <s v="Imran Khan.NumberOut"/>
        <s v="Kaifi Khalil.NumberIn"/>
        <s v="Kaifi Khalil.NumberOut"/>
        <s v="Resource 1.NumberSeized"/>
        <s v="Resource 1.ScheduledUtilization"/>
        <s v="System.NumberOut"/>
        <s v="Talha Anjum.NumberIn"/>
        <s v="Talha Anjum.NumberOut"/>
        <s v="Talha Yunus.NumberIn"/>
        <s v="Talha Yunus.NumberOut"/>
        <s v="counter.NumberSeized"/>
        <s v="counter.ScheduledUtilization"/>
        <m u="1"/>
        <s v="Operator 1.ScheduledUtilization" u="1"/>
        <s v="Operator 2.ScheduledUtilization" u="1"/>
        <s v="Operator 3.ScheduledUtilization" u="1"/>
        <s v="Operator 4.ScheduledUtilization" u="1"/>
        <s v="r_largefitzmill.NumberSeized" u="1"/>
        <s v="r_smallfitzmill.NumberSeized" u="1"/>
        <s v="r Prep1.NumberSeized" u="1"/>
        <s v="r Prep2.NumberSeized" u="1"/>
        <s v="Machine.ScheduledUtilization" u="1"/>
        <s v="Packaging Machine.ScheduledUtilization" u="1"/>
        <s v="E 1.NumberOut" u="1"/>
        <s v="Peca.NumberOut" u="1"/>
        <s v="r_vblender.ScheduledUtilization" u="1"/>
        <s v="Process Packaging Accum Wait Time" u="1"/>
        <s v="E 2.NumberOut" u="1"/>
        <s v="r_CIP.ScheduledUtilization" u="1"/>
        <s v="r_CIP.NumberSeized" u="1"/>
        <s v="Part Type 1.NumberOut" u="1"/>
        <s v="Part Type 2.NumberOut" u="1"/>
        <s v="E 1.NumberIn" u="1"/>
        <s v="e_batch.NumberIn" u="1"/>
        <s v="Part Type 1.NumberIn" u="1"/>
        <s v="Part Type 2.NumberIn" u="1"/>
        <s v="E 2.Number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Process Part Type 1 on Prep1 Accum VA Time" u="1"/>
        <s v="Process Part Type 2 on Prep2 Accum VA Time" u="1"/>
        <s v="r_largepinmill.NumberSeized" u="1"/>
        <s v="Process Part Type 1 on Prep1 Number Out" u="1"/>
        <s v="Process Part Type 2 on Prep2 Number Out" u="1"/>
        <s v="Process Part Type 1 on Prep1 Accum Wait Time" u="1"/>
        <s v="Process Part Type 2 on Prep2 Accum Wait Time" u="1"/>
        <s v="r_smallpinmill.NumberSeized" u="1"/>
        <s v="Machine.NumberSeized" u="1"/>
        <s v="Process Part Type 1 on Prep1 Number In" u="1"/>
        <s v="Process Part Type 2 on Prep2 Number In" u="1"/>
        <s v="r_vblender.NumberSeized" u="1"/>
        <s v="r Shared.ScheduledUtilization" u="1"/>
        <s v="Tub Cleaning Accum Wait Time" u="1"/>
        <s v="Packaging Machine.NumberSeized" u="1"/>
        <s v="Operator.ScheduledUtilization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Number Out" u="1"/>
        <s v="r Shared.NumberSeized" u="1"/>
        <s v="Peca.NumberIn" u="1"/>
        <s v="Operator.NumberSeized" u="1"/>
        <s v="r_largepinmill.ScheduledUtilization" u="1"/>
        <s v="r_binblender.NumberSeized" u="1"/>
        <s v="r Prep1.ScheduledUtilization" u="1"/>
        <s v="r Prep2.ScheduledUtilization" u="1"/>
        <s v="r_smallpinmill.ScheduledUtilization" u="1"/>
        <s v="e_batch.NumberOut" u="1"/>
        <s v="r_binblender.ScheduledUtilization" u="1"/>
        <s v="Tub Cleaning Number Out" u="1"/>
        <s v="Process Packaging Number In" u="1"/>
        <s v="Tub Cleaning Accum VA Time" u="1"/>
        <s v="r_operator.NumberSeized" u="1"/>
        <s v="Process Packaging Accum VA Time" u="1"/>
        <s v="Tub Cleaning Number In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" maxValue="1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4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40"/>
    </cacheField>
    <cacheField name="Maximum" numFmtId="0">
      <sharedItems containsSemiMixedTypes="0" containsString="0" containsNumber="1" minValue="0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CS" refreshedDate="45304.946605555553" createdVersion="7" refreshedVersion="5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 Products" u="1"/>
        <s v="Counter 2" u="1"/>
        <s v="Counter 1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CS" refreshedDate="45304.946605671299" createdVersion="7" refreshedVersion="5" minRefreshableVersion="3" recordCount="27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43">
        <s v="Add Songs.Queue"/>
        <s v="Adele"/>
        <s v="Ali Zafar"/>
        <s v="App Server"/>
        <s v="Asim Azhar"/>
        <s v="Atif Aslam"/>
        <s v="Bhomeia"/>
        <s v="Conan Gray"/>
        <s v="Delay.Queue"/>
        <s v="Entity 1"/>
        <s v="Featured Charts.Queue"/>
        <s v="Harry Styles"/>
        <s v="Imran Khan"/>
        <s v="Kaifi Khalil"/>
        <s v="Liked Songs.Queue"/>
        <s v="Resource 1"/>
        <s v="STREAM.Queue"/>
        <s v="Streaming Server.Queue"/>
        <s v="Talha Anjum"/>
        <s v="Talha Yunus"/>
        <s v="counter"/>
        <m u="1"/>
        <s v="Match 4.Queue1" u="1"/>
        <s v="Processing Post 3.Queue" u="1"/>
        <s v="Peptone LS Bin Blender 6.Queue" u="1"/>
        <s v="Weighroom 4.Queue" u="1"/>
        <s v="Load Mill 14.Queue" u="1"/>
        <s v="e_batch" u="1"/>
        <s v="Match 2.Queue2" u="1"/>
        <s v="Match 5.Queue1" u="1"/>
        <s v="r_largepinmill" u="1"/>
        <s v="Load Mill 5.Queue" u="1"/>
        <s v="CIP V Blender 3.Queue" u="1"/>
        <s v="CIP Large Pin.Queue" u="1"/>
        <s v="Process Part Type 2 on Prep2.Queue" u="1"/>
        <s v="Match 13.Queue1" u="1"/>
        <s v="DPM SS Bin Blender 3.Queue" u="1"/>
        <s v="Match 3.Queue2" u="1"/>
        <s v="Match 6.Queue1" u="1"/>
        <s v="Weighroom 5.Queue" u="1"/>
        <s v="Seize shared resource.Queue" u="1"/>
        <s v="Machine" u="1"/>
        <s v="Part Type 1" u="1"/>
        <s v="Peptone LS Bin Blender 5.Queue" u="1"/>
        <s v="Match 4.Queue2" u="1"/>
        <s v="Match 7.Queue1" u="1"/>
        <s v="Manual.Queue" u="1"/>
        <s v="Load Mill 6.Queue" u="1"/>
        <s v="Tub Cleaning.Queue" u="1"/>
        <s v="CIP V Blender 8.Queue" u="1"/>
        <s v="Load Mill 11.Queue" u="1"/>
        <s v="Match 5.Queue2" u="1"/>
        <s v="Match 8.Queue1" u="1"/>
        <s v="Weighroom.Queue" u="1"/>
        <s v="Operator 1" u="1"/>
        <s v="Weighroom 6.Queue" u="1"/>
        <s v="Load Mill 16.Queue" u="1"/>
        <s v="Processing Post 2.Queue" u="1"/>
        <s v="Peca" u="1"/>
        <s v="Part Type 2" u="1"/>
        <s v="Match 6.Queue2" u="1"/>
        <s v="Match 9.Queue1" u="1"/>
        <s v="r_weighroom207" u="1"/>
        <s v="Load Mill 7.Queue" u="1"/>
        <s v="CIP V Blender 4.Queue" u="1"/>
        <s v="Peptone LS Bin Blender 4.Queue" u="1"/>
        <s v="Peptone SS Bin Blender 4.Queue" u="1"/>
        <s v="Operator 2" u="1"/>
        <s v="r_smallpinmill" u="1"/>
        <s v="Match 13.Queue2" u="1"/>
        <s v="Match 7.Queue2" u="1"/>
        <s v="Servo CIP.Queue" u="1"/>
        <s v="r_binblender" u="1"/>
        <s v="Weighroom 7.Queue" u="1"/>
        <s v="Load Mill.Queue" u="1"/>
        <s v="ABFL.Queue" u="1"/>
        <s v="Match 8.Queue2" u="1"/>
        <s v="Seize Machine And Operator.Queue" u="1"/>
        <s v="Process Part Type 1 on Prep1.Queue" u="1"/>
        <s v="Operator 3" u="1"/>
        <s v="Load Mill 8.Queue" u="1"/>
        <s v="Load Mill 13.Queue" u="1"/>
        <s v="r_largefitzmill" u="1"/>
        <s v="Match 9.Queue2" u="1"/>
        <s v="r_weighroom208" u="1"/>
        <s v="Weighroom 8.Queue" u="1"/>
        <s v="Peptone LS Bin Blender 3.Queue" u="1"/>
        <s v="Peptone SS Bin Blender 3.Queue" u="1"/>
        <s v="Packaging Machine" u="1"/>
        <s v="Processing Post 1.Queue" u="1"/>
        <s v="r_CIP" u="1"/>
        <s v="Operator 4" u="1"/>
        <s v="r_weighroom135" u="1"/>
        <s v="Match 11.Queue1" u="1"/>
        <s v="Peptone LS Bin Blender.Queue" u="1"/>
        <s v="Peptone SS Bin Blender.Queue" u="1"/>
        <s v="Seize 40.Queue" u="1"/>
        <s v="Load Mill 9.Queue" u="1"/>
        <s v="DPM SS Bin Blender 4.Queue" u="1"/>
        <s v="Seize Pin Mill Weigh Room.Queue" u="1"/>
        <s v="r Prep1" u="1"/>
        <s v="Process Packaging.Queue" u="1"/>
        <s v="Tub Level" u="1"/>
        <s v="CIP Large Fitz.Queue" u="1"/>
        <s v="r Prep2" u="1"/>
        <s v="Seize Operator.Queue" u="1"/>
        <s v="Load Mill 10.Queue" u="1"/>
        <s v="DPM SS Bin Blender.Queue" u="1"/>
        <s v="r_weighroom203" u="1"/>
        <s v="Peptone LS Bin Blender 2.Queue" u="1"/>
        <s v="Peptone SS Bin Blender 2.Queue" u="1"/>
        <s v="Load Mill 15.Queue" u="1"/>
        <s v="E 1" u="1"/>
        <s v="Peptone LS V Blender 2.Queue" u="1"/>
        <s v="E 2" u="1"/>
        <s v="DPM SS Bin Blender 2.Queue" u="1"/>
        <s v="r_smallfitzmill" u="1"/>
        <s v="Peptone LS V Blender 3.Queue" u="1"/>
        <s v="Servo.Queue" u="1"/>
        <s v="Match 11.Queue2" u="1"/>
        <s v="Load Mill 2.Queue" u="1"/>
        <s v="Processing Post 4.Queue" u="1"/>
        <s v="Peptone LS V Blender.Queue" u="1"/>
        <s v="Operator" u="1"/>
        <s v="Peptone LS V Blender 6.Queue" u="1"/>
        <s v="r_weighroom204" u="1"/>
        <s v="Weighroom 2.Queue" u="1"/>
        <s v="Peptone LS V Blender 7.Queue" u="1"/>
        <s v="Load Mill 12.Queue" u="1"/>
        <s v="CIP V Blender.Queue" u="1"/>
        <s v="Seize LS V Blender 8.Queue" u="1"/>
        <s v="r Shared" u="1"/>
        <s v="Load Mill 3.Queue" u="1"/>
        <s v="CIP V Blender 2.Queue" u="1"/>
        <s v="r_vblender" u="1"/>
        <s v="Enter the Belt.Queue" u="1"/>
        <s v="Match 2.Queue1" u="1"/>
        <s v="Seize Fitz Mill Weigh Room.Queue" u="1"/>
        <s v="Weighroom 3.Queue" u="1"/>
        <s v="r_operator" u="1"/>
        <s v="Match 3.Queue1" u="1"/>
        <s v="Seize Bin Blender.Queue" u="1"/>
        <s v="Load Mill 4.Queue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3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"/>
    </cacheField>
    <cacheField name="MaximumAverage" numFmtId="0">
      <sharedItems containsSemiMixedTypes="0" containsString="0" containsNumber="1" minValue="0" maxValue="1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PCS" refreshedDate="45304.946605671299" createdVersion="7" refreshedVersion="5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Unnamed Project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Constant(1)" u="1"/>
        <s v="Constant(2)" u="1"/>
        <s v="Constant(3)" u="1"/>
        <s v="Constant(4)" u="1"/>
        <s v="waiting" u="1"/>
        <s v="Constant(5)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s v="2024-01-13 22:42:59"/>
    <n v="1"/>
    <x v="0"/>
    <x v="0"/>
    <x v="0"/>
    <n v="0.23166332464275799"/>
    <n v="2E+20"/>
    <n v="0"/>
    <n v="1.69033188460219"/>
    <n v="24"/>
    <s v="Unnamed ProjectAdd Songs.QueueWaiting TimeQueue"/>
    <n v="1"/>
    <n v="0.23166332464275799"/>
    <n v="0"/>
    <n v="0.95"/>
    <n v="4E+20"/>
    <n v="0.23166332464275799"/>
    <n v="0.23166332464275799"/>
    <n v="0"/>
    <n v="1.69033188460219"/>
    <n v="24"/>
    <n v="2E+20"/>
    <n v="1"/>
    <n v="1"/>
  </r>
  <r>
    <x v="0"/>
    <s v="2024-01-13 22:42:59"/>
    <n v="1"/>
    <x v="1"/>
    <x v="0"/>
    <x v="0"/>
    <n v="5.4065798100501501E-3"/>
    <n v="2E+20"/>
    <n v="0"/>
    <n v="0.177796325676297"/>
    <n v="94"/>
    <s v="Unnamed ProjectDelay.QueueWaiting TimeQueue"/>
    <n v="1"/>
    <n v="5.4065798100501501E-3"/>
    <n v="0"/>
    <n v="0.95"/>
    <n v="4E+20"/>
    <n v="5.4065798100501501E-3"/>
    <n v="5.4065798100501501E-3"/>
    <n v="0"/>
    <n v="0.177796325676297"/>
    <n v="94"/>
    <n v="2E+20"/>
    <n v="1"/>
    <n v="1"/>
  </r>
  <r>
    <x v="0"/>
    <s v="2024-01-13 22:42:59"/>
    <n v="1"/>
    <x v="2"/>
    <x v="1"/>
    <x v="1"/>
    <n v="0"/>
    <n v="2E+20"/>
    <n v="0"/>
    <n v="0"/>
    <n v="140"/>
    <s v="Unnamed ProjectEntity 1NVA TimeEntity"/>
    <n v="1"/>
    <n v="0"/>
    <n v="0"/>
    <n v="0.95"/>
    <n v="4E+20"/>
    <n v="0"/>
    <n v="0"/>
    <n v="0"/>
    <n v="0"/>
    <n v="140"/>
    <n v="2E+20"/>
    <n v="1"/>
    <n v="1"/>
  </r>
  <r>
    <x v="0"/>
    <s v="2024-01-13 22:42:59"/>
    <n v="1"/>
    <x v="2"/>
    <x v="2"/>
    <x v="1"/>
    <n v="0"/>
    <n v="2E+20"/>
    <n v="0"/>
    <n v="0"/>
    <n v="140"/>
    <s v="Unnamed ProjectEntity 1Other TimeEntity"/>
    <n v="1"/>
    <n v="0"/>
    <n v="0"/>
    <n v="0.95"/>
    <n v="4E+20"/>
    <n v="0"/>
    <n v="0"/>
    <n v="0"/>
    <n v="0"/>
    <n v="140"/>
    <n v="2E+20"/>
    <n v="1"/>
    <n v="1"/>
  </r>
  <r>
    <x v="0"/>
    <s v="2024-01-13 22:42:59"/>
    <n v="1"/>
    <x v="2"/>
    <x v="3"/>
    <x v="1"/>
    <n v="0.65761734843541997"/>
    <n v="2E+20"/>
    <n v="1.83486377212034E-2"/>
    <n v="3.87245110083721"/>
    <n v="140"/>
    <s v="Unnamed ProjectEntity 1Total TimeEntity"/>
    <n v="1"/>
    <n v="0.65761734843541997"/>
    <n v="0"/>
    <n v="0.95"/>
    <n v="4E+20"/>
    <n v="0.65761734843541997"/>
    <n v="0.65761734843541997"/>
    <n v="1.83486377212034E-2"/>
    <n v="3.87245110083721"/>
    <n v="140"/>
    <n v="2E+20"/>
    <n v="1"/>
    <n v="1"/>
  </r>
  <r>
    <x v="0"/>
    <s v="2024-01-13 22:42:59"/>
    <n v="1"/>
    <x v="2"/>
    <x v="4"/>
    <x v="1"/>
    <n v="0"/>
    <n v="2E+20"/>
    <n v="0"/>
    <n v="0"/>
    <n v="140"/>
    <s v="Unnamed ProjectEntity 1Transfer TimeEntity"/>
    <n v="1"/>
    <n v="0"/>
    <n v="0"/>
    <n v="0.95"/>
    <n v="4E+20"/>
    <n v="0"/>
    <n v="0"/>
    <n v="0"/>
    <n v="0"/>
    <n v="140"/>
    <n v="2E+20"/>
    <n v="1"/>
    <n v="1"/>
  </r>
  <r>
    <x v="0"/>
    <s v="2024-01-13 22:42:59"/>
    <n v="1"/>
    <x v="2"/>
    <x v="5"/>
    <x v="1"/>
    <n v="0.53654961836069104"/>
    <n v="2E+20"/>
    <n v="1.83486377212034E-2"/>
    <n v="2.3295187506546702"/>
    <n v="140"/>
    <s v="Unnamed ProjectEntity 1VA TimeEntity"/>
    <n v="1"/>
    <n v="0.53654961836069104"/>
    <n v="0"/>
    <n v="0.95"/>
    <n v="4E+20"/>
    <n v="0.53654961836069104"/>
    <n v="0.53654961836069104"/>
    <n v="1.83486377212034E-2"/>
    <n v="2.3295187506546702"/>
    <n v="140"/>
    <n v="2E+20"/>
    <n v="1"/>
    <n v="1"/>
  </r>
  <r>
    <x v="0"/>
    <s v="2024-01-13 22:42:59"/>
    <n v="1"/>
    <x v="2"/>
    <x v="6"/>
    <x v="1"/>
    <n v="0.121067730074729"/>
    <n v="2E+20"/>
    <n v="0"/>
    <n v="2.6084115030701902"/>
    <n v="140"/>
    <s v="Unnamed ProjectEntity 1Wait TimeEntity"/>
    <n v="1"/>
    <n v="0.121067730074729"/>
    <n v="0"/>
    <n v="0.95"/>
    <n v="4E+20"/>
    <n v="0.121067730074729"/>
    <n v="0.121067730074729"/>
    <n v="0"/>
    <n v="2.6084115030701902"/>
    <n v="140"/>
    <n v="2E+20"/>
    <n v="1"/>
    <n v="1"/>
  </r>
  <r>
    <x v="0"/>
    <s v="2024-01-13 22:42:59"/>
    <n v="1"/>
    <x v="3"/>
    <x v="0"/>
    <x v="0"/>
    <n v="1.1983176233548E-2"/>
    <n v="2E+20"/>
    <n v="0"/>
    <n v="0.21337368984011101"/>
    <n v="46"/>
    <s v="Unnamed ProjectFeatured Charts.QueueWaiting TimeQueue"/>
    <n v="1"/>
    <n v="1.1983176233548E-2"/>
    <n v="0"/>
    <n v="0.95"/>
    <n v="4E+20"/>
    <n v="1.1983176233548E-2"/>
    <n v="1.1983176233548E-2"/>
    <n v="0"/>
    <n v="0.21337368984011101"/>
    <n v="46"/>
    <n v="2E+20"/>
    <n v="1"/>
    <n v="1"/>
  </r>
  <r>
    <x v="0"/>
    <s v="2024-01-13 22:42:59"/>
    <n v="1"/>
    <x v="4"/>
    <x v="0"/>
    <x v="0"/>
    <n v="0.277801418108787"/>
    <n v="2E+20"/>
    <n v="0"/>
    <n v="1.24491392901076"/>
    <n v="22"/>
    <s v="Unnamed ProjectLiked Songs.QueueWaiting TimeQueue"/>
    <n v="1"/>
    <n v="0.277801418108787"/>
    <n v="0"/>
    <n v="0.95"/>
    <n v="4E+20"/>
    <n v="0.277801418108787"/>
    <n v="0.277801418108787"/>
    <n v="0"/>
    <n v="1.24491392901076"/>
    <n v="22"/>
    <n v="2E+20"/>
    <n v="1"/>
    <n v="1"/>
  </r>
  <r>
    <x v="0"/>
    <s v="2024-01-13 22:42:59"/>
    <n v="1"/>
    <x v="5"/>
    <x v="0"/>
    <x v="0"/>
    <n v="9.1261120416697303E-2"/>
    <n v="2E+20"/>
    <n v="0"/>
    <n v="1.5956351991939499"/>
    <n v="46"/>
    <s v="Unnamed ProjectSTREAM.QueueWaiting TimeQueue"/>
    <n v="1"/>
    <n v="9.1261120416697303E-2"/>
    <n v="0"/>
    <n v="0.95"/>
    <n v="4E+20"/>
    <n v="9.1261120416697303E-2"/>
    <n v="9.1261120416697303E-2"/>
    <n v="0"/>
    <n v="1.5956351991939499"/>
    <n v="46"/>
    <n v="2E+20"/>
    <n v="1"/>
    <n v="1"/>
  </r>
  <r>
    <x v="0"/>
    <s v="2024-01-13 22:42:59"/>
    <n v="1"/>
    <x v="6"/>
    <x v="0"/>
    <x v="0"/>
    <n v="1.4625051847575899E-4"/>
    <n v="2E+20"/>
    <n v="0"/>
    <n v="1.3427097792401799E-2"/>
    <n v="140"/>
    <s v="Unnamed ProjectStreaming Server.QueueWaiting TimeQueue"/>
    <n v="1"/>
    <n v="1.4625051847575899E-4"/>
    <n v="0"/>
    <n v="0.95"/>
    <n v="4E+20"/>
    <n v="1.4625051847575899E-4"/>
    <n v="1.4625051847575899E-4"/>
    <n v="0"/>
    <n v="1.3427097792401799E-2"/>
    <n v="140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2024-01-13 22:42:59"/>
    <n v="1"/>
    <x v="0"/>
    <x v="0"/>
    <x v="0"/>
    <n v="0"/>
    <n v="0"/>
    <s v="Unnamed ProjectAdele.NumberInNumber InEntity"/>
    <n v="1"/>
    <n v="0"/>
    <n v="0"/>
    <n v="0.95"/>
    <n v="4E+20"/>
    <n v="0"/>
    <n v="0"/>
  </r>
  <r>
    <x v="0"/>
    <s v="2024-01-13 22:42:59"/>
    <n v="1"/>
    <x v="1"/>
    <x v="1"/>
    <x v="0"/>
    <n v="0"/>
    <n v="0"/>
    <s v="Unnamed ProjectAdele.NumberOutNumber OutEntity"/>
    <n v="1"/>
    <n v="0"/>
    <n v="0"/>
    <n v="0.95"/>
    <n v="4E+20"/>
    <n v="0"/>
    <n v="0"/>
  </r>
  <r>
    <x v="0"/>
    <s v="2024-01-13 22:42:59"/>
    <n v="1"/>
    <x v="2"/>
    <x v="0"/>
    <x v="0"/>
    <n v="0"/>
    <n v="0"/>
    <s v="Unnamed ProjectAli Zafar.NumberInNumber InEntity"/>
    <n v="1"/>
    <n v="0"/>
    <n v="0"/>
    <n v="0.95"/>
    <n v="4E+20"/>
    <n v="0"/>
    <n v="0"/>
  </r>
  <r>
    <x v="0"/>
    <s v="2024-01-13 22:42:59"/>
    <n v="1"/>
    <x v="3"/>
    <x v="1"/>
    <x v="0"/>
    <n v="0"/>
    <n v="0"/>
    <s v="Unnamed ProjectAli Zafar.NumberOutNumber OutEntity"/>
    <n v="1"/>
    <n v="0"/>
    <n v="0"/>
    <n v="0.95"/>
    <n v="4E+20"/>
    <n v="0"/>
    <n v="0"/>
  </r>
  <r>
    <x v="0"/>
    <s v="2024-01-13 22:42:59"/>
    <n v="1"/>
    <x v="4"/>
    <x v="2"/>
    <x v="1"/>
    <n v="140"/>
    <n v="0"/>
    <s v="Unnamed ProjectApp Server.NumberSeizedTotal Number SeizedResource"/>
    <n v="1"/>
    <n v="140"/>
    <n v="0"/>
    <n v="0.95"/>
    <n v="4E+20"/>
    <n v="140"/>
    <n v="140"/>
  </r>
  <r>
    <x v="0"/>
    <s v="2024-01-13 22:42:59"/>
    <n v="1"/>
    <x v="5"/>
    <x v="3"/>
    <x v="1"/>
    <n v="1.7206952758516501E-2"/>
    <n v="0"/>
    <s v="Unnamed ProjectApp Server.ScheduledUtilizationScheduled UtilizationResource"/>
    <n v="1"/>
    <n v="1.7206952758516501E-2"/>
    <n v="0"/>
    <n v="0.95"/>
    <n v="4E+20"/>
    <n v="1.7206952758516501E-2"/>
    <n v="1.7206952758516501E-2"/>
  </r>
  <r>
    <x v="0"/>
    <s v="2024-01-13 22:42:59"/>
    <n v="1"/>
    <x v="6"/>
    <x v="0"/>
    <x v="0"/>
    <n v="0"/>
    <n v="0"/>
    <s v="Unnamed ProjectAsim Azhar.NumberInNumber InEntity"/>
    <n v="1"/>
    <n v="0"/>
    <n v="0"/>
    <n v="0.95"/>
    <n v="4E+20"/>
    <n v="0"/>
    <n v="0"/>
  </r>
  <r>
    <x v="0"/>
    <s v="2024-01-13 22:42:59"/>
    <n v="1"/>
    <x v="7"/>
    <x v="1"/>
    <x v="0"/>
    <n v="0"/>
    <n v="0"/>
    <s v="Unnamed ProjectAsim Azhar.NumberOutNumber OutEntity"/>
    <n v="1"/>
    <n v="0"/>
    <n v="0"/>
    <n v="0.95"/>
    <n v="4E+20"/>
    <n v="0"/>
    <n v="0"/>
  </r>
  <r>
    <x v="0"/>
    <s v="2024-01-13 22:42:59"/>
    <n v="1"/>
    <x v="8"/>
    <x v="0"/>
    <x v="0"/>
    <n v="0"/>
    <n v="0"/>
    <s v="Unnamed ProjectAtif Aslam.NumberInNumber InEntity"/>
    <n v="1"/>
    <n v="0"/>
    <n v="0"/>
    <n v="0.95"/>
    <n v="4E+20"/>
    <n v="0"/>
    <n v="0"/>
  </r>
  <r>
    <x v="0"/>
    <s v="2024-01-13 22:42:59"/>
    <n v="1"/>
    <x v="9"/>
    <x v="1"/>
    <x v="0"/>
    <n v="0"/>
    <n v="0"/>
    <s v="Unnamed ProjectAtif Aslam.NumberOutNumber OutEntity"/>
    <n v="1"/>
    <n v="0"/>
    <n v="0"/>
    <n v="0.95"/>
    <n v="4E+20"/>
    <n v="0"/>
    <n v="0"/>
  </r>
  <r>
    <x v="0"/>
    <s v="2024-01-13 22:42:59"/>
    <n v="1"/>
    <x v="10"/>
    <x v="0"/>
    <x v="0"/>
    <n v="0"/>
    <n v="0"/>
    <s v="Unnamed ProjectBhomeia.NumberInNumber InEntity"/>
    <n v="1"/>
    <n v="0"/>
    <n v="0"/>
    <n v="0.95"/>
    <n v="4E+20"/>
    <n v="0"/>
    <n v="0"/>
  </r>
  <r>
    <x v="0"/>
    <s v="2024-01-13 22:42:59"/>
    <n v="1"/>
    <x v="11"/>
    <x v="1"/>
    <x v="0"/>
    <n v="0"/>
    <n v="0"/>
    <s v="Unnamed ProjectBhomeia.NumberOutNumber OutEntity"/>
    <n v="1"/>
    <n v="0"/>
    <n v="0"/>
    <n v="0.95"/>
    <n v="4E+20"/>
    <n v="0"/>
    <n v="0"/>
  </r>
  <r>
    <x v="0"/>
    <s v="2024-01-13 22:42:59"/>
    <n v="1"/>
    <x v="12"/>
    <x v="0"/>
    <x v="0"/>
    <n v="0"/>
    <n v="0"/>
    <s v="Unnamed ProjectConan Gray.NumberInNumber InEntity"/>
    <n v="1"/>
    <n v="0"/>
    <n v="0"/>
    <n v="0.95"/>
    <n v="4E+20"/>
    <n v="0"/>
    <n v="0"/>
  </r>
  <r>
    <x v="0"/>
    <s v="2024-01-13 22:42:59"/>
    <n v="1"/>
    <x v="13"/>
    <x v="1"/>
    <x v="0"/>
    <n v="0"/>
    <n v="0"/>
    <s v="Unnamed ProjectConan Gray.NumberOutNumber OutEntity"/>
    <n v="1"/>
    <n v="0"/>
    <n v="0"/>
    <n v="0.95"/>
    <n v="4E+20"/>
    <n v="0"/>
    <n v="0"/>
  </r>
  <r>
    <x v="0"/>
    <s v="2024-01-13 22:42:59"/>
    <n v="1"/>
    <x v="14"/>
    <x v="0"/>
    <x v="0"/>
    <n v="140"/>
    <n v="0"/>
    <s v="Unnamed ProjectEntity 1.NumberInNumber InEntity"/>
    <n v="1"/>
    <n v="140"/>
    <n v="0"/>
    <n v="0.95"/>
    <n v="4E+20"/>
    <n v="140"/>
    <n v="140"/>
  </r>
  <r>
    <x v="0"/>
    <s v="2024-01-13 22:42:59"/>
    <n v="1"/>
    <x v="15"/>
    <x v="1"/>
    <x v="0"/>
    <n v="140"/>
    <n v="0"/>
    <s v="Unnamed ProjectEntity 1.NumberOutNumber OutEntity"/>
    <n v="1"/>
    <n v="140"/>
    <n v="0"/>
    <n v="0.95"/>
    <n v="4E+20"/>
    <n v="140"/>
    <n v="140"/>
  </r>
  <r>
    <x v="0"/>
    <s v="2024-01-13 22:42:59"/>
    <n v="1"/>
    <x v="16"/>
    <x v="0"/>
    <x v="0"/>
    <n v="0"/>
    <n v="0"/>
    <s v="Unnamed ProjectHarry Styles.NumberInNumber InEntity"/>
    <n v="1"/>
    <n v="0"/>
    <n v="0"/>
    <n v="0.95"/>
    <n v="4E+20"/>
    <n v="0"/>
    <n v="0"/>
  </r>
  <r>
    <x v="0"/>
    <s v="2024-01-13 22:42:59"/>
    <n v="1"/>
    <x v="17"/>
    <x v="1"/>
    <x v="0"/>
    <n v="0"/>
    <n v="0"/>
    <s v="Unnamed ProjectHarry Styles.NumberOutNumber OutEntity"/>
    <n v="1"/>
    <n v="0"/>
    <n v="0"/>
    <n v="0.95"/>
    <n v="4E+20"/>
    <n v="0"/>
    <n v="0"/>
  </r>
  <r>
    <x v="0"/>
    <s v="2024-01-13 22:42:59"/>
    <n v="1"/>
    <x v="18"/>
    <x v="0"/>
    <x v="0"/>
    <n v="0"/>
    <n v="0"/>
    <s v="Unnamed ProjectImran Khan.NumberInNumber InEntity"/>
    <n v="1"/>
    <n v="0"/>
    <n v="0"/>
    <n v="0.95"/>
    <n v="4E+20"/>
    <n v="0"/>
    <n v="0"/>
  </r>
  <r>
    <x v="0"/>
    <s v="2024-01-13 22:42:59"/>
    <n v="1"/>
    <x v="19"/>
    <x v="1"/>
    <x v="0"/>
    <n v="0"/>
    <n v="0"/>
    <s v="Unnamed ProjectImran Khan.NumberOutNumber OutEntity"/>
    <n v="1"/>
    <n v="0"/>
    <n v="0"/>
    <n v="0.95"/>
    <n v="4E+20"/>
    <n v="0"/>
    <n v="0"/>
  </r>
  <r>
    <x v="0"/>
    <s v="2024-01-13 22:42:59"/>
    <n v="1"/>
    <x v="20"/>
    <x v="0"/>
    <x v="0"/>
    <n v="0"/>
    <n v="0"/>
    <s v="Unnamed ProjectKaifi Khalil.NumberInNumber InEntity"/>
    <n v="1"/>
    <n v="0"/>
    <n v="0"/>
    <n v="0.95"/>
    <n v="4E+20"/>
    <n v="0"/>
    <n v="0"/>
  </r>
  <r>
    <x v="0"/>
    <s v="2024-01-13 22:42:59"/>
    <n v="1"/>
    <x v="21"/>
    <x v="1"/>
    <x v="0"/>
    <n v="0"/>
    <n v="0"/>
    <s v="Unnamed ProjectKaifi Khalil.NumberOutNumber OutEntity"/>
    <n v="1"/>
    <n v="0"/>
    <n v="0"/>
    <n v="0.95"/>
    <n v="4E+20"/>
    <n v="0"/>
    <n v="0"/>
  </r>
  <r>
    <x v="0"/>
    <s v="2024-01-13 22:42:59"/>
    <n v="1"/>
    <x v="22"/>
    <x v="2"/>
    <x v="1"/>
    <n v="92"/>
    <n v="0"/>
    <s v="Unnamed ProjectResource 1.NumberSeizedTotal Number SeizedResource"/>
    <n v="1"/>
    <n v="92"/>
    <n v="0"/>
    <n v="0.95"/>
    <n v="4E+20"/>
    <n v="92"/>
    <n v="92"/>
  </r>
  <r>
    <x v="0"/>
    <s v="2024-01-13 22:42:59"/>
    <n v="1"/>
    <x v="23"/>
    <x v="3"/>
    <x v="1"/>
    <n v="0.43063649084561101"/>
    <n v="0"/>
    <s v="Unnamed ProjectResource 1.ScheduledUtilizationScheduled UtilizationResource"/>
    <n v="1"/>
    <n v="0.43063649084561101"/>
    <n v="0"/>
    <n v="0.95"/>
    <n v="4E+20"/>
    <n v="0.43063649084561101"/>
    <n v="0.43063649084561101"/>
  </r>
  <r>
    <x v="0"/>
    <s v="2024-01-13 22:42:59"/>
    <n v="1"/>
    <x v="24"/>
    <x v="1"/>
    <x v="2"/>
    <n v="140"/>
    <n v="0"/>
    <s v="Unnamed ProjectSystem.NumberOutNumber OutSystem"/>
    <n v="1"/>
    <n v="140"/>
    <n v="0"/>
    <n v="0.95"/>
    <n v="4E+20"/>
    <n v="140"/>
    <n v="140"/>
  </r>
  <r>
    <x v="0"/>
    <s v="2024-01-13 22:42:59"/>
    <n v="1"/>
    <x v="25"/>
    <x v="0"/>
    <x v="0"/>
    <n v="0"/>
    <n v="0"/>
    <s v="Unnamed ProjectTalha Anjum.NumberInNumber InEntity"/>
    <n v="1"/>
    <n v="0"/>
    <n v="0"/>
    <n v="0.95"/>
    <n v="4E+20"/>
    <n v="0"/>
    <n v="0"/>
  </r>
  <r>
    <x v="0"/>
    <s v="2024-01-13 22:42:59"/>
    <n v="1"/>
    <x v="26"/>
    <x v="1"/>
    <x v="0"/>
    <n v="0"/>
    <n v="0"/>
    <s v="Unnamed ProjectTalha Anjum.NumberOutNumber OutEntity"/>
    <n v="1"/>
    <n v="0"/>
    <n v="0"/>
    <n v="0.95"/>
    <n v="4E+20"/>
    <n v="0"/>
    <n v="0"/>
  </r>
  <r>
    <x v="0"/>
    <s v="2024-01-13 22:42:59"/>
    <n v="1"/>
    <x v="27"/>
    <x v="0"/>
    <x v="0"/>
    <n v="0"/>
    <n v="0"/>
    <s v="Unnamed ProjectTalha Yunus.NumberInNumber InEntity"/>
    <n v="1"/>
    <n v="0"/>
    <n v="0"/>
    <n v="0.95"/>
    <n v="4E+20"/>
    <n v="0"/>
    <n v="0"/>
  </r>
  <r>
    <x v="0"/>
    <s v="2024-01-13 22:42:59"/>
    <n v="1"/>
    <x v="28"/>
    <x v="1"/>
    <x v="0"/>
    <n v="0"/>
    <n v="0"/>
    <s v="Unnamed ProjectTalha Yunus.NumberOutNumber OutEntity"/>
    <n v="1"/>
    <n v="0"/>
    <n v="0"/>
    <n v="0.95"/>
    <n v="4E+20"/>
    <n v="0"/>
    <n v="0"/>
  </r>
  <r>
    <x v="0"/>
    <s v="2024-01-13 22:42:59"/>
    <n v="1"/>
    <x v="29"/>
    <x v="2"/>
    <x v="1"/>
    <n v="140"/>
    <n v="0"/>
    <s v="Unnamed Projectcounter.NumberSeizedTotal Number SeizedResource"/>
    <n v="1"/>
    <n v="140"/>
    <n v="0"/>
    <n v="0.95"/>
    <n v="4E+20"/>
    <n v="140"/>
    <n v="140"/>
  </r>
  <r>
    <x v="0"/>
    <s v="2024-01-13 22:42:59"/>
    <n v="1"/>
    <x v="30"/>
    <x v="3"/>
    <x v="1"/>
    <n v="0.12403376359889"/>
    <n v="0"/>
    <s v="Unnamed Projectcounter.ScheduledUtilizationScheduled UtilizationResource"/>
    <n v="1"/>
    <n v="0.12403376359889"/>
    <n v="0"/>
    <n v="0.95"/>
    <n v="4E+20"/>
    <n v="0.12403376359889"/>
    <n v="0.1240337635988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7">
  <r>
    <x v="0"/>
    <s v="2024-01-13 22:42:59"/>
    <n v="1"/>
    <x v="0"/>
    <x v="0"/>
    <x v="0"/>
    <n v="4.2328549651702997E-2"/>
    <n v="2E+20"/>
    <n v="0"/>
    <n v="2"/>
    <n v="0"/>
    <n v="0"/>
    <s v="Unnamed ProjectAdd Songs.QueueNumber WaitingQueue"/>
    <n v="1"/>
    <n v="4.2328549651702997E-2"/>
    <n v="0"/>
    <n v="0.95"/>
    <n v="4E+20"/>
    <n v="4.2328549651702997E-2"/>
    <n v="4.2328549651702997E-2"/>
    <n v="2E+20"/>
  </r>
  <r>
    <x v="0"/>
    <s v="2024-01-13 22:42:59"/>
    <n v="1"/>
    <x v="1"/>
    <x v="1"/>
    <x v="1"/>
    <n v="0"/>
    <n v="2E+20"/>
    <n v="0"/>
    <n v="0"/>
    <n v="0"/>
    <n v="0"/>
    <s v="Unnamed ProjectAdeleWIPEntity"/>
    <n v="1"/>
    <n v="0"/>
    <n v="0"/>
    <n v="0.95"/>
    <n v="4E+20"/>
    <n v="0"/>
    <n v="0"/>
    <n v="2E+20"/>
  </r>
  <r>
    <x v="0"/>
    <s v="2024-01-13 22:42:59"/>
    <n v="1"/>
    <x v="2"/>
    <x v="1"/>
    <x v="1"/>
    <n v="0"/>
    <n v="2E+20"/>
    <n v="0"/>
    <n v="0"/>
    <n v="0"/>
    <n v="0"/>
    <s v="Unnamed ProjectAli ZafarWIPEntity"/>
    <n v="1"/>
    <n v="0"/>
    <n v="0"/>
    <n v="0.95"/>
    <n v="4E+20"/>
    <n v="0"/>
    <n v="0"/>
    <n v="2E+20"/>
  </r>
  <r>
    <x v="0"/>
    <s v="2024-01-13 22:42:59"/>
    <n v="1"/>
    <x v="3"/>
    <x v="2"/>
    <x v="2"/>
    <n v="1.7206952758516501E-2"/>
    <n v="2E+20"/>
    <n v="0"/>
    <n v="1"/>
    <n v="0"/>
    <n v="0"/>
    <s v="Unnamed ProjectApp ServerInstantaneous UtilizationResource"/>
    <n v="1"/>
    <n v="1.7206952758516501E-2"/>
    <n v="0"/>
    <n v="0.95"/>
    <n v="4E+20"/>
    <n v="1.7206952758516501E-2"/>
    <n v="1.7206952758516501E-2"/>
    <n v="2E+20"/>
  </r>
  <r>
    <x v="0"/>
    <s v="2024-01-13 22:42:59"/>
    <n v="1"/>
    <x v="3"/>
    <x v="3"/>
    <x v="2"/>
    <n v="1.7206952758516501E-2"/>
    <n v="2E+20"/>
    <n v="0"/>
    <n v="1"/>
    <n v="0"/>
    <n v="0"/>
    <s v="Unnamed ProjectApp ServerNumber BusyResource"/>
    <n v="1"/>
    <n v="1.7206952758516501E-2"/>
    <n v="0"/>
    <n v="0.95"/>
    <n v="4E+20"/>
    <n v="1.7206952758516501E-2"/>
    <n v="1.7206952758516501E-2"/>
    <n v="2E+20"/>
  </r>
  <r>
    <x v="0"/>
    <s v="2024-01-13 22:42:59"/>
    <n v="1"/>
    <x v="3"/>
    <x v="4"/>
    <x v="2"/>
    <n v="1"/>
    <n v="2E+20"/>
    <n v="1"/>
    <n v="1"/>
    <n v="1"/>
    <n v="0"/>
    <s v="Unnamed ProjectApp ServerNumber ScheduledResource"/>
    <n v="1"/>
    <n v="1"/>
    <n v="0"/>
    <n v="0.95"/>
    <n v="4E+20"/>
    <n v="1"/>
    <n v="1"/>
    <n v="2E+20"/>
  </r>
  <r>
    <x v="0"/>
    <s v="2024-01-13 22:42:59"/>
    <n v="1"/>
    <x v="4"/>
    <x v="1"/>
    <x v="1"/>
    <n v="0"/>
    <n v="2E+20"/>
    <n v="0"/>
    <n v="0"/>
    <n v="0"/>
    <n v="0"/>
    <s v="Unnamed ProjectAsim AzharWIPEntity"/>
    <n v="1"/>
    <n v="0"/>
    <n v="0"/>
    <n v="0.95"/>
    <n v="4E+20"/>
    <n v="0"/>
    <n v="0"/>
    <n v="2E+20"/>
  </r>
  <r>
    <x v="0"/>
    <s v="2024-01-13 22:42:59"/>
    <n v="1"/>
    <x v="5"/>
    <x v="1"/>
    <x v="1"/>
    <n v="0"/>
    <n v="2E+20"/>
    <n v="0"/>
    <n v="0"/>
    <n v="0"/>
    <n v="0"/>
    <s v="Unnamed ProjectAtif AslamWIPEntity"/>
    <n v="1"/>
    <n v="0"/>
    <n v="0"/>
    <n v="0.95"/>
    <n v="4E+20"/>
    <n v="0"/>
    <n v="0"/>
    <n v="2E+20"/>
  </r>
  <r>
    <x v="0"/>
    <s v="2024-01-13 22:42:59"/>
    <n v="1"/>
    <x v="6"/>
    <x v="1"/>
    <x v="1"/>
    <n v="0"/>
    <n v="2E+20"/>
    <n v="0"/>
    <n v="0"/>
    <n v="0"/>
    <n v="0"/>
    <s v="Unnamed ProjectBhomeiaWIPEntity"/>
    <n v="1"/>
    <n v="0"/>
    <n v="0"/>
    <n v="0.95"/>
    <n v="4E+20"/>
    <n v="0"/>
    <n v="0"/>
    <n v="2E+20"/>
  </r>
  <r>
    <x v="0"/>
    <s v="2024-01-13 22:42:59"/>
    <n v="1"/>
    <x v="7"/>
    <x v="1"/>
    <x v="1"/>
    <n v="0"/>
    <n v="2E+20"/>
    <n v="0"/>
    <n v="0"/>
    <n v="0"/>
    <n v="0"/>
    <s v="Unnamed ProjectConan GrayWIPEntity"/>
    <n v="1"/>
    <n v="0"/>
    <n v="0"/>
    <n v="0.95"/>
    <n v="4E+20"/>
    <n v="0"/>
    <n v="0"/>
    <n v="2E+20"/>
  </r>
  <r>
    <x v="0"/>
    <s v="2024-01-13 22:42:59"/>
    <n v="1"/>
    <x v="8"/>
    <x v="0"/>
    <x v="0"/>
    <n v="3.8691479210041799E-3"/>
    <n v="2E+20"/>
    <n v="0"/>
    <n v="1"/>
    <n v="0"/>
    <n v="0"/>
    <s v="Unnamed ProjectDelay.QueueNumber WaitingQueue"/>
    <n v="1"/>
    <n v="3.8691479210041799E-3"/>
    <n v="0"/>
    <n v="0.95"/>
    <n v="4E+20"/>
    <n v="3.8691479210041799E-3"/>
    <n v="3.8691479210041799E-3"/>
    <n v="2E+20"/>
  </r>
  <r>
    <x v="0"/>
    <s v="2024-01-13 22:42:59"/>
    <n v="1"/>
    <x v="9"/>
    <x v="1"/>
    <x v="1"/>
    <n v="0.70091629881411599"/>
    <n v="2E+20"/>
    <n v="0"/>
    <n v="3"/>
    <n v="0"/>
    <n v="0"/>
    <s v="Unnamed ProjectEntity 1WIPEntity"/>
    <n v="1"/>
    <n v="0.70091629881411599"/>
    <n v="0"/>
    <n v="0.95"/>
    <n v="4E+20"/>
    <n v="0.70091629881411599"/>
    <n v="0.70091629881411599"/>
    <n v="2E+20"/>
  </r>
  <r>
    <x v="0"/>
    <s v="2024-01-13 22:42:59"/>
    <n v="1"/>
    <x v="10"/>
    <x v="0"/>
    <x v="0"/>
    <n v="4.1965716240323298E-3"/>
    <n v="2E+20"/>
    <n v="0"/>
    <n v="1"/>
    <n v="0"/>
    <n v="0"/>
    <s v="Unnamed ProjectFeatured Charts.QueueNumber WaitingQueue"/>
    <n v="1"/>
    <n v="4.1965716240323298E-3"/>
    <n v="0"/>
    <n v="0.95"/>
    <n v="4E+20"/>
    <n v="4.1965716240323298E-3"/>
    <n v="4.1965716240323298E-3"/>
    <n v="2E+20"/>
  </r>
  <r>
    <x v="0"/>
    <s v="2024-01-13 22:42:59"/>
    <n v="1"/>
    <x v="11"/>
    <x v="1"/>
    <x v="1"/>
    <n v="0"/>
    <n v="2E+20"/>
    <n v="0"/>
    <n v="0"/>
    <n v="0"/>
    <n v="0"/>
    <s v="Unnamed ProjectHarry StylesWIPEntity"/>
    <n v="1"/>
    <n v="0"/>
    <n v="0"/>
    <n v="0.95"/>
    <n v="4E+20"/>
    <n v="0"/>
    <n v="0"/>
    <n v="2E+20"/>
  </r>
  <r>
    <x v="0"/>
    <s v="2024-01-13 22:42:59"/>
    <n v="1"/>
    <x v="12"/>
    <x v="1"/>
    <x v="1"/>
    <n v="0"/>
    <n v="2E+20"/>
    <n v="0"/>
    <n v="0"/>
    <n v="0"/>
    <n v="0"/>
    <s v="Unnamed ProjectImran KhanWIPEntity"/>
    <n v="1"/>
    <n v="0"/>
    <n v="0"/>
    <n v="0.95"/>
    <n v="4E+20"/>
    <n v="0"/>
    <n v="0"/>
    <n v="2E+20"/>
  </r>
  <r>
    <x v="0"/>
    <s v="2024-01-13 22:42:59"/>
    <n v="1"/>
    <x v="13"/>
    <x v="1"/>
    <x v="1"/>
    <n v="0"/>
    <n v="2E+20"/>
    <n v="0"/>
    <n v="0"/>
    <n v="0"/>
    <n v="0"/>
    <s v="Unnamed ProjectKaifi KhalilWIPEntity"/>
    <n v="1"/>
    <n v="0"/>
    <n v="0"/>
    <n v="0.95"/>
    <n v="4E+20"/>
    <n v="0"/>
    <n v="0"/>
    <n v="2E+20"/>
  </r>
  <r>
    <x v="0"/>
    <s v="2024-01-13 22:42:59"/>
    <n v="1"/>
    <x v="14"/>
    <x v="0"/>
    <x v="0"/>
    <n v="4.6528815943175601E-2"/>
    <n v="2E+20"/>
    <n v="0"/>
    <n v="2"/>
    <n v="0"/>
    <n v="0"/>
    <s v="Unnamed ProjectLiked Songs.QueueNumber WaitingQueue"/>
    <n v="1"/>
    <n v="4.6528815943175601E-2"/>
    <n v="0"/>
    <n v="0.95"/>
    <n v="4E+20"/>
    <n v="4.6528815943175601E-2"/>
    <n v="4.6528815943175601E-2"/>
    <n v="2E+20"/>
  </r>
  <r>
    <x v="0"/>
    <s v="2024-01-13 22:42:59"/>
    <n v="1"/>
    <x v="15"/>
    <x v="2"/>
    <x v="2"/>
    <n v="0.43063649084561101"/>
    <n v="2E+20"/>
    <n v="0"/>
    <n v="1"/>
    <n v="0"/>
    <n v="0"/>
    <s v="Unnamed ProjectResource 1Instantaneous UtilizationResource"/>
    <n v="1"/>
    <n v="0.43063649084561101"/>
    <n v="0"/>
    <n v="0.95"/>
    <n v="4E+20"/>
    <n v="0.43063649084561101"/>
    <n v="0.43063649084561101"/>
    <n v="2E+20"/>
  </r>
  <r>
    <x v="0"/>
    <s v="2024-01-13 22:42:59"/>
    <n v="1"/>
    <x v="15"/>
    <x v="3"/>
    <x v="2"/>
    <n v="0.43063649084561101"/>
    <n v="2E+20"/>
    <n v="0"/>
    <n v="1"/>
    <n v="0"/>
    <n v="0"/>
    <s v="Unnamed ProjectResource 1Number BusyResource"/>
    <n v="1"/>
    <n v="0.43063649084561101"/>
    <n v="0"/>
    <n v="0.95"/>
    <n v="4E+20"/>
    <n v="0.43063649084561101"/>
    <n v="0.43063649084561101"/>
    <n v="2E+20"/>
  </r>
  <r>
    <x v="0"/>
    <s v="2024-01-13 22:42:59"/>
    <n v="1"/>
    <x v="15"/>
    <x v="4"/>
    <x v="2"/>
    <n v="1"/>
    <n v="2E+20"/>
    <n v="1"/>
    <n v="1"/>
    <n v="1"/>
    <n v="0"/>
    <s v="Unnamed ProjectResource 1Number ScheduledResource"/>
    <n v="1"/>
    <n v="1"/>
    <n v="0"/>
    <n v="0.95"/>
    <n v="4E+20"/>
    <n v="1"/>
    <n v="1"/>
    <n v="2E+20"/>
  </r>
  <r>
    <x v="0"/>
    <s v="2024-01-13 22:42:59"/>
    <n v="1"/>
    <x v="16"/>
    <x v="0"/>
    <x v="0"/>
    <n v="3.1960126501845897E-2"/>
    <n v="2E+20"/>
    <n v="0"/>
    <n v="1"/>
    <n v="0"/>
    <n v="0"/>
    <s v="Unnamed ProjectSTREAM.QueueNumber WaitingQueue"/>
    <n v="1"/>
    <n v="3.1960126501845897E-2"/>
    <n v="0"/>
    <n v="0.95"/>
    <n v="4E+20"/>
    <n v="3.1960126501845897E-2"/>
    <n v="3.1960126501845897E-2"/>
    <n v="2E+20"/>
  </r>
  <r>
    <x v="0"/>
    <s v="2024-01-13 22:42:59"/>
    <n v="1"/>
    <x v="17"/>
    <x v="0"/>
    <x v="0"/>
    <n v="1.5587996933712499E-4"/>
    <n v="2E+20"/>
    <n v="0"/>
    <n v="1"/>
    <n v="0"/>
    <n v="0"/>
    <s v="Unnamed ProjectStreaming Server.QueueNumber WaitingQueue"/>
    <n v="1"/>
    <n v="1.5587996933712499E-4"/>
    <n v="0"/>
    <n v="0.95"/>
    <n v="4E+20"/>
    <n v="1.5587996933712499E-4"/>
    <n v="1.5587996933712499E-4"/>
    <n v="2E+20"/>
  </r>
  <r>
    <x v="0"/>
    <s v="2024-01-13 22:42:59"/>
    <n v="1"/>
    <x v="18"/>
    <x v="1"/>
    <x v="1"/>
    <n v="0"/>
    <n v="2E+20"/>
    <n v="0"/>
    <n v="0"/>
    <n v="0"/>
    <n v="0"/>
    <s v="Unnamed ProjectTalha AnjumWIPEntity"/>
    <n v="1"/>
    <n v="0"/>
    <n v="0"/>
    <n v="0.95"/>
    <n v="4E+20"/>
    <n v="0"/>
    <n v="0"/>
    <n v="2E+20"/>
  </r>
  <r>
    <x v="0"/>
    <s v="2024-01-13 22:42:59"/>
    <n v="1"/>
    <x v="19"/>
    <x v="1"/>
    <x v="1"/>
    <n v="0"/>
    <n v="2E+20"/>
    <n v="0"/>
    <n v="0"/>
    <n v="0"/>
    <n v="0"/>
    <s v="Unnamed ProjectTalha YunusWIPEntity"/>
    <n v="1"/>
    <n v="0"/>
    <n v="0"/>
    <n v="0.95"/>
    <n v="4E+20"/>
    <n v="0"/>
    <n v="0"/>
    <n v="2E+20"/>
  </r>
  <r>
    <x v="0"/>
    <s v="2024-01-13 22:42:59"/>
    <n v="1"/>
    <x v="20"/>
    <x v="2"/>
    <x v="2"/>
    <n v="0.12403376359889"/>
    <n v="2E+20"/>
    <n v="0"/>
    <n v="1"/>
    <n v="0"/>
    <n v="0"/>
    <s v="Unnamed ProjectcounterInstantaneous UtilizationResource"/>
    <n v="1"/>
    <n v="0.12403376359889"/>
    <n v="0"/>
    <n v="0.95"/>
    <n v="4E+20"/>
    <n v="0.12403376359889"/>
    <n v="0.12403376359889"/>
    <n v="2E+20"/>
  </r>
  <r>
    <x v="0"/>
    <s v="2024-01-13 22:42:59"/>
    <n v="1"/>
    <x v="20"/>
    <x v="3"/>
    <x v="2"/>
    <n v="0.12403376359889"/>
    <n v="2E+20"/>
    <n v="0"/>
    <n v="1"/>
    <n v="0"/>
    <n v="0"/>
    <s v="Unnamed ProjectcounterNumber BusyResource"/>
    <n v="1"/>
    <n v="0.12403376359889"/>
    <n v="0"/>
    <n v="0.95"/>
    <n v="4E+20"/>
    <n v="0.12403376359889"/>
    <n v="0.12403376359889"/>
    <n v="2E+20"/>
  </r>
  <r>
    <x v="0"/>
    <s v="2024-01-13 22:42:59"/>
    <n v="1"/>
    <x v="20"/>
    <x v="4"/>
    <x v="2"/>
    <n v="1"/>
    <n v="2E+20"/>
    <n v="1"/>
    <n v="1"/>
    <n v="1"/>
    <n v="0"/>
    <s v="Unnamed ProjectcounterNumber ScheduledResource"/>
    <n v="1"/>
    <n v="1"/>
    <n v="0"/>
    <n v="0.95"/>
    <n v="4E+20"/>
    <n v="1"/>
    <n v="1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DiscreteTimePivot" cacheId="40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98"/>
        <item m="1" x="39"/>
        <item m="1" x="61"/>
        <item m="1" x="37"/>
        <item m="1" x="9"/>
        <item m="1" x="88"/>
        <item m="1" x="87"/>
        <item m="1" x="79"/>
        <item m="1" x="81"/>
        <item x="2"/>
        <item m="1" x="26"/>
        <item m="1" x="40"/>
        <item m="1" x="82"/>
        <item m="1" x="71"/>
        <item m="1" x="92"/>
        <item m="1" x="54"/>
        <item m="1" x="63"/>
        <item m="1" x="19"/>
        <item m="1" x="70"/>
        <item m="1" x="53"/>
        <item m="1" x="73"/>
        <item m="1" x="25"/>
        <item m="1" x="60"/>
        <item m="1" x="31"/>
        <item m="1" x="52"/>
        <item m="1" x="72"/>
        <item m="1" x="18"/>
        <item m="1" x="97"/>
        <item m="1" x="17"/>
        <item m="1" x="44"/>
        <item m="1" x="32"/>
        <item m="1" x="94"/>
        <item m="1" x="21"/>
        <item m="1" x="68"/>
        <item m="1" x="75"/>
        <item m="1" x="74"/>
        <item m="1" x="93"/>
        <item m="1" x="56"/>
        <item m="1" x="12"/>
        <item m="1" x="78"/>
        <item m="1" x="36"/>
        <item m="1" x="86"/>
        <item m="1" x="96"/>
        <item m="1" x="104"/>
        <item m="1" x="16"/>
        <item m="1" x="43"/>
        <item m="1" x="55"/>
        <item m="1" x="67"/>
        <item m="1" x="51"/>
        <item m="1" x="30"/>
        <item m="1" x="62"/>
        <item m="1" x="85"/>
        <item m="1" x="20"/>
        <item m="1" x="47"/>
        <item m="1" x="99"/>
        <item m="1" x="14"/>
        <item m="1" x="102"/>
        <item m="1" x="22"/>
        <item m="1" x="8"/>
        <item m="1" x="28"/>
        <item m="1" x="15"/>
        <item m="1" x="33"/>
        <item m="1" x="23"/>
        <item m="1" x="41"/>
        <item m="1" x="29"/>
        <item m="1" x="48"/>
        <item m="1" x="42"/>
        <item m="1" x="57"/>
        <item m="1" x="76"/>
        <item m="1" x="45"/>
        <item m="1" x="27"/>
        <item m="1" x="10"/>
        <item m="1" x="64"/>
        <item m="1" x="80"/>
        <item m="1" x="83"/>
        <item m="1" x="91"/>
        <item m="1" x="89"/>
        <item m="1" x="77"/>
        <item m="1" x="59"/>
        <item m="1" x="46"/>
        <item m="1" x="65"/>
        <item m="1" x="66"/>
        <item m="1" x="103"/>
        <item m="1" x="100"/>
        <item m="1" x="95"/>
        <item m="1" x="69"/>
        <item m="1" x="49"/>
        <item m="1" x="84"/>
        <item m="1" x="38"/>
        <item m="1" x="90"/>
        <item m="1" x="101"/>
        <item m="1" x="11"/>
        <item m="1" x="24"/>
        <item m="1" x="35"/>
        <item m="1" x="50"/>
        <item m="1" x="58"/>
        <item m="1" x="34"/>
        <item m="1" x="13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12">
        <item m="1" x="10"/>
        <item x="1"/>
        <item x="2"/>
        <item x="3"/>
        <item x="4"/>
        <item x="5"/>
        <item x="6"/>
        <item x="0"/>
        <item m="1" x="11"/>
        <item m="1" x="9"/>
        <item m="1" x="8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OutputPivot" cacheId="46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K2:AS3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57"/>
        <item m="1" x="32"/>
        <item m="1" x="58"/>
        <item m="1" x="33"/>
        <item m="1" x="59"/>
        <item m="1" x="34"/>
        <item m="1" x="60"/>
        <item m="1" x="35"/>
        <item m="1" x="90"/>
        <item m="1" x="43"/>
        <item x="24"/>
        <item m="1" x="51"/>
        <item m="1" x="42"/>
        <item m="1" x="55"/>
        <item m="1" x="46"/>
        <item x="14"/>
        <item x="15"/>
        <item m="1" x="75"/>
        <item m="1" x="40"/>
        <item m="1" x="91"/>
        <item m="1" x="82"/>
        <item m="1" x="81"/>
        <item m="1" x="41"/>
        <item m="1" x="53"/>
        <item m="1" x="49"/>
        <item m="1" x="54"/>
        <item m="1" x="50"/>
        <item m="1" x="103"/>
        <item m="1" x="45"/>
        <item m="1" x="100"/>
        <item m="1" x="88"/>
        <item m="1" x="67"/>
        <item m="1" x="72"/>
        <item m="1" x="76"/>
        <item m="1" x="70"/>
        <item m="1" x="68"/>
        <item m="1" x="73"/>
        <item m="1" x="77"/>
        <item m="1" x="71"/>
        <item m="1" x="101"/>
        <item m="1" x="80"/>
        <item m="1" x="104"/>
        <item m="1" x="99"/>
        <item m="1" x="38"/>
        <item m="1" x="94"/>
        <item m="1" x="39"/>
        <item m="1" x="95"/>
        <item m="1" x="89"/>
        <item m="1" x="79"/>
        <item x="22"/>
        <item x="23"/>
        <item m="1" x="52"/>
        <item m="1" x="97"/>
        <item m="1" x="48"/>
        <item m="1" x="47"/>
        <item m="1" x="93"/>
        <item m="1" x="98"/>
        <item m="1" x="36"/>
        <item m="1" x="56"/>
        <item m="1" x="69"/>
        <item m="1" x="92"/>
        <item m="1" x="102"/>
        <item m="1" x="37"/>
        <item m="1" x="66"/>
        <item m="1" x="74"/>
        <item m="1" x="96"/>
        <item m="1" x="78"/>
        <item m="1" x="44"/>
        <item m="1" x="61"/>
        <item m="1" x="83"/>
        <item m="1" x="62"/>
        <item m="1" x="84"/>
        <item m="1" x="63"/>
        <item m="1" x="85"/>
        <item m="1" x="64"/>
        <item m="1" x="86"/>
        <item m="1" x="65"/>
        <item m="1" x="87"/>
        <item m="1" x="3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0"/>
        <item x="21"/>
        <item x="25"/>
        <item x="26"/>
        <item x="27"/>
        <item x="28"/>
        <item x="29"/>
        <item x="30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1">
    <i>
      <x v="3"/>
      <x v="10"/>
      <x v="1"/>
      <x v="2"/>
    </i>
    <i r="1">
      <x v="15"/>
      <x/>
      <x/>
    </i>
    <i r="1">
      <x v="16"/>
      <x v="1"/>
      <x/>
    </i>
    <i r="1">
      <x v="49"/>
      <x v="3"/>
      <x v="1"/>
    </i>
    <i r="1">
      <x v="50"/>
      <x v="2"/>
      <x v="1"/>
    </i>
    <i r="1">
      <x v="79"/>
      <x/>
      <x/>
    </i>
    <i r="1">
      <x v="80"/>
      <x v="1"/>
      <x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  <i r="1">
      <x v="85"/>
      <x/>
      <x/>
    </i>
    <i r="1">
      <x v="86"/>
      <x v="1"/>
      <x/>
    </i>
    <i r="1">
      <x v="87"/>
      <x/>
      <x/>
    </i>
    <i r="1">
      <x v="88"/>
      <x v="1"/>
      <x/>
    </i>
    <i r="1">
      <x v="89"/>
      <x/>
      <x/>
    </i>
    <i r="1">
      <x v="90"/>
      <x v="1"/>
      <x/>
    </i>
    <i r="1">
      <x v="91"/>
      <x/>
      <x/>
    </i>
    <i r="1">
      <x v="92"/>
      <x v="1"/>
      <x/>
    </i>
    <i r="1">
      <x v="93"/>
      <x/>
      <x/>
    </i>
    <i r="1">
      <x v="94"/>
      <x v="1"/>
      <x/>
    </i>
    <i r="1">
      <x v="95"/>
      <x/>
      <x/>
    </i>
    <i r="1">
      <x v="96"/>
      <x v="1"/>
      <x/>
    </i>
    <i r="1">
      <x v="97"/>
      <x/>
      <x/>
    </i>
    <i r="1">
      <x v="98"/>
      <x v="1"/>
      <x/>
    </i>
    <i r="1">
      <x v="99"/>
      <x/>
      <x/>
    </i>
    <i r="1">
      <x v="100"/>
      <x v="1"/>
      <x/>
    </i>
    <i r="1">
      <x v="101"/>
      <x/>
      <x/>
    </i>
    <i r="1">
      <x v="102"/>
      <x v="1"/>
      <x/>
    </i>
    <i r="1">
      <x v="103"/>
      <x v="3"/>
      <x v="1"/>
    </i>
    <i r="1">
      <x v="10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CounterPivot" cacheId="52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1"/>
        <item m="1" x="3"/>
        <item m="1" x="2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ContinuousTimePivot" cacheId="58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O2:Y2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3">
        <item m="1" x="135"/>
        <item m="1" x="54"/>
        <item m="1" x="67"/>
        <item m="1" x="79"/>
        <item m="1" x="91"/>
        <item m="1" x="58"/>
        <item m="1" x="89"/>
        <item m="1" x="57"/>
        <item m="1" x="23"/>
        <item m="1" x="121"/>
        <item m="1" x="112"/>
        <item m="1" x="114"/>
        <item x="9"/>
        <item m="1" x="41"/>
        <item m="1" x="123"/>
        <item m="1" x="88"/>
        <item m="1" x="42"/>
        <item m="1" x="59"/>
        <item m="1" x="101"/>
        <item m="1" x="78"/>
        <item m="1" x="34"/>
        <item m="1" x="77"/>
        <item m="1" x="105"/>
        <item m="1" x="40"/>
        <item m="1" x="48"/>
        <item m="1" x="102"/>
        <item m="1" x="100"/>
        <item m="1" x="104"/>
        <item m="1" x="131"/>
        <item m="1" x="75"/>
        <item m="1" x="103"/>
        <item m="1" x="33"/>
        <item m="1" x="133"/>
        <item m="1" x="32"/>
        <item m="1" x="64"/>
        <item m="1" x="49"/>
        <item m="1" x="129"/>
        <item m="1" x="115"/>
        <item m="1" x="36"/>
        <item m="1" x="98"/>
        <item m="1" x="107"/>
        <item m="1" x="106"/>
        <item m="1" x="50"/>
        <item m="1" x="128"/>
        <item m="1" x="81"/>
        <item m="1" x="26"/>
        <item m="1" x="111"/>
        <item m="1" x="56"/>
        <item m="1" x="120"/>
        <item m="1" x="132"/>
        <item m="1" x="142"/>
        <item m="1" x="31"/>
        <item m="1" x="47"/>
        <item m="1" x="63"/>
        <item m="1" x="80"/>
        <item m="1" x="97"/>
        <item m="1" x="74"/>
        <item m="1" x="46"/>
        <item m="1" x="93"/>
        <item m="1" x="119"/>
        <item m="1" x="35"/>
        <item m="1" x="69"/>
        <item m="1" x="136"/>
        <item m="1" x="28"/>
        <item m="1" x="140"/>
        <item m="1" x="37"/>
        <item m="1" x="22"/>
        <item m="1" x="44"/>
        <item m="1" x="29"/>
        <item m="1" x="51"/>
        <item m="1" x="38"/>
        <item m="1" x="60"/>
        <item m="1" x="45"/>
        <item m="1" x="70"/>
        <item m="1" x="52"/>
        <item m="1" x="76"/>
        <item m="1" x="61"/>
        <item m="1" x="83"/>
        <item m="1" x="109"/>
        <item m="1" x="86"/>
        <item m="1" x="65"/>
        <item m="1" x="43"/>
        <item m="1" x="24"/>
        <item m="1" x="94"/>
        <item m="1" x="113"/>
        <item m="1" x="117"/>
        <item m="1" x="124"/>
        <item m="1" x="127"/>
        <item m="1" x="122"/>
        <item m="1" x="110"/>
        <item m="1" x="87"/>
        <item m="1" x="66"/>
        <item m="1" x="95"/>
        <item x="15"/>
        <item m="1" x="96"/>
        <item m="1" x="141"/>
        <item m="1" x="137"/>
        <item m="1" x="130"/>
        <item m="1" x="99"/>
        <item m="1" x="71"/>
        <item m="1" x="118"/>
        <item m="1" x="126"/>
        <item m="1" x="138"/>
        <item m="1" x="25"/>
        <item m="1" x="39"/>
        <item m="1" x="55"/>
        <item m="1" x="73"/>
        <item m="1" x="85"/>
        <item m="1" x="53"/>
        <item m="1" x="27"/>
        <item m="1" x="90"/>
        <item m="1" x="72"/>
        <item m="1" x="82"/>
        <item m="1" x="30"/>
        <item m="1" x="139"/>
        <item m="1" x="116"/>
        <item m="1" x="68"/>
        <item m="1" x="134"/>
        <item m="1" x="92"/>
        <item m="1" x="108"/>
        <item m="1" x="125"/>
        <item m="1" x="62"/>
        <item m="1" x="84"/>
        <item m="1" x="21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6"/>
        <item x="17"/>
        <item x="18"/>
        <item x="19"/>
        <item x="20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7">
    <i>
      <x v="3"/>
      <x v="12"/>
      <x v="4"/>
      <x/>
    </i>
    <i r="1">
      <x v="93"/>
      <x/>
      <x v="2"/>
    </i>
    <i r="2">
      <x v="1"/>
      <x v="2"/>
    </i>
    <i r="2">
      <x v="2"/>
      <x v="2"/>
    </i>
    <i r="1">
      <x v="124"/>
      <x v="3"/>
      <x v="1"/>
    </i>
    <i r="1">
      <x v="125"/>
      <x v="4"/>
      <x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4"/>
      <x/>
    </i>
    <i r="1">
      <x v="129"/>
      <x v="4"/>
      <x/>
    </i>
    <i r="1">
      <x v="130"/>
      <x v="4"/>
      <x/>
    </i>
    <i r="1">
      <x v="131"/>
      <x v="4"/>
      <x/>
    </i>
    <i r="1">
      <x v="132"/>
      <x v="3"/>
      <x v="1"/>
    </i>
    <i r="1">
      <x v="133"/>
      <x v="3"/>
      <x v="1"/>
    </i>
    <i r="1">
      <x v="134"/>
      <x v="4"/>
      <x/>
    </i>
    <i r="1">
      <x v="135"/>
      <x v="4"/>
      <x/>
    </i>
    <i r="1">
      <x v="136"/>
      <x v="4"/>
      <x/>
    </i>
    <i r="1">
      <x v="137"/>
      <x v="3"/>
      <x v="1"/>
    </i>
    <i r="1">
      <x v="138"/>
      <x v="3"/>
      <x v="1"/>
    </i>
    <i r="1">
      <x v="139"/>
      <x v="3"/>
      <x v="1"/>
    </i>
    <i r="1">
      <x v="140"/>
      <x v="4"/>
      <x/>
    </i>
    <i r="1">
      <x v="141"/>
      <x v="4"/>
      <x/>
    </i>
    <i r="1">
      <x v="142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FrequencyPivot" cacheId="64" applyNumberFormats="0" applyBorderFormats="0" applyFontFormats="0" applyPatternFormats="0" applyAlignmentFormats="0" applyWidthHeightFormats="1" dataCaption="Values" updatedVersion="5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8"/>
        <item m="1" x="7"/>
        <item m="1" x="5"/>
        <item x="0"/>
        <item m="1" x="1"/>
        <item m="1" x="2"/>
        <item m="1" x="3"/>
        <item m="1" x="4"/>
        <item m="1" x="6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13" tableType="queryTable" totalsRowShown="0">
  <autoFilter ref="A1:Y13"/>
  <sortState ref="A2:Y13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28" tableType="queryTable" totalsRowShown="0">
  <autoFilter ref="A1:U28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32" tableType="queryTable" totalsRowShown="0">
  <autoFilter ref="A1:P32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74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73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72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1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40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39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38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7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0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71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7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69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3</v>
      </c>
      <c r="E2">
        <v>1</v>
      </c>
      <c r="F2">
        <v>131.35153075585001</v>
      </c>
      <c r="G2">
        <f>0.95</f>
        <v>0.95</v>
      </c>
    </row>
  </sheetData>
  <phoneticPr fontId="2" type="noConversion"/>
  <conditionalFormatting sqref="D2">
    <cfRule type="expression" dxfId="36" priority="1">
      <formula>D2=3</formula>
    </cfRule>
    <cfRule type="expression" dxfId="35" priority="2">
      <formula>D2=2</formula>
    </cfRule>
    <cfRule type="expression" dxfId="34" priority="3">
      <formula>D2=1</formula>
    </cfRule>
    <cfRule type="expression" dxfId="33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33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75</v>
      </c>
      <c r="C3" t="s">
        <v>76</v>
      </c>
      <c r="D3" t="s">
        <v>77</v>
      </c>
      <c r="E3" s="3">
        <v>0</v>
      </c>
      <c r="F3" s="3">
        <v>1</v>
      </c>
      <c r="G3" s="3">
        <v>2E+20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140</v>
      </c>
      <c r="O3" t="s">
        <v>67</v>
      </c>
      <c r="P3" t="s">
        <v>75</v>
      </c>
      <c r="Q3" t="s">
        <v>89</v>
      </c>
      <c r="R3" t="s">
        <v>77</v>
      </c>
      <c r="S3" s="3">
        <v>0.70091629881411599</v>
      </c>
      <c r="T3" s="3">
        <v>2E+20</v>
      </c>
      <c r="U3" s="3">
        <v>0</v>
      </c>
      <c r="V3" s="3">
        <v>0.70091629881411599</v>
      </c>
      <c r="W3" s="3">
        <v>0.70091629881411599</v>
      </c>
      <c r="X3" s="3">
        <v>0</v>
      </c>
      <c r="Y3" s="3">
        <v>3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135</v>
      </c>
      <c r="AM3" t="s">
        <v>110</v>
      </c>
      <c r="AN3" t="s">
        <v>136</v>
      </c>
      <c r="AO3" s="3">
        <v>140</v>
      </c>
      <c r="AP3" s="3">
        <v>4E+20</v>
      </c>
      <c r="AQ3" s="3">
        <v>0</v>
      </c>
      <c r="AR3" s="3">
        <v>140</v>
      </c>
      <c r="AS3" s="3">
        <v>140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C4" t="s">
        <v>78</v>
      </c>
      <c r="D4" t="s">
        <v>77</v>
      </c>
      <c r="E4" s="3">
        <v>0</v>
      </c>
      <c r="F4" s="3">
        <v>1</v>
      </c>
      <c r="G4" s="3">
        <v>2E+20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140</v>
      </c>
      <c r="P4" t="s">
        <v>103</v>
      </c>
      <c r="Q4" t="s">
        <v>92</v>
      </c>
      <c r="R4" t="s">
        <v>93</v>
      </c>
      <c r="S4" s="3">
        <v>0.43063649084561101</v>
      </c>
      <c r="T4" s="3">
        <v>2E+20</v>
      </c>
      <c r="U4" s="3">
        <v>0</v>
      </c>
      <c r="V4" s="3">
        <v>0.43063649084561101</v>
      </c>
      <c r="W4" s="3">
        <v>0.43063649084561101</v>
      </c>
      <c r="X4" s="3">
        <v>0</v>
      </c>
      <c r="Y4" s="3">
        <v>1</v>
      </c>
      <c r="AL4" t="s">
        <v>125</v>
      </c>
      <c r="AM4" t="s">
        <v>108</v>
      </c>
      <c r="AN4" t="s">
        <v>77</v>
      </c>
      <c r="AO4" s="3">
        <v>140</v>
      </c>
      <c r="AP4" s="3">
        <v>4E+20</v>
      </c>
      <c r="AQ4" s="3">
        <v>0</v>
      </c>
      <c r="AR4" s="3">
        <v>140</v>
      </c>
      <c r="AS4" s="3">
        <v>140</v>
      </c>
    </row>
    <row r="5" spans="1:52" x14ac:dyDescent="0.25">
      <c r="C5" t="s">
        <v>79</v>
      </c>
      <c r="D5" t="s">
        <v>77</v>
      </c>
      <c r="E5" s="3">
        <v>0.65761734843541997</v>
      </c>
      <c r="F5" s="3">
        <v>1</v>
      </c>
      <c r="G5" s="3">
        <v>2E+20</v>
      </c>
      <c r="H5" s="3">
        <v>0</v>
      </c>
      <c r="I5" s="3">
        <v>0.65761734843541997</v>
      </c>
      <c r="J5" s="3">
        <v>0.65761734843541997</v>
      </c>
      <c r="K5" s="3">
        <v>1.83486377212034E-2</v>
      </c>
      <c r="L5" s="3">
        <v>3.87245110083721</v>
      </c>
      <c r="M5" s="3">
        <v>140</v>
      </c>
      <c r="Q5" t="s">
        <v>94</v>
      </c>
      <c r="R5" t="s">
        <v>93</v>
      </c>
      <c r="S5" s="3">
        <v>0.43063649084561101</v>
      </c>
      <c r="T5" s="3">
        <v>2E+20</v>
      </c>
      <c r="U5" s="3">
        <v>0</v>
      </c>
      <c r="V5" s="3">
        <v>0.43063649084561101</v>
      </c>
      <c r="W5" s="3">
        <v>0.43063649084561101</v>
      </c>
      <c r="X5" s="3">
        <v>0</v>
      </c>
      <c r="Y5" s="3">
        <v>1</v>
      </c>
      <c r="AL5" t="s">
        <v>126</v>
      </c>
      <c r="AM5" t="s">
        <v>110</v>
      </c>
      <c r="AN5" t="s">
        <v>77</v>
      </c>
      <c r="AO5" s="3">
        <v>140</v>
      </c>
      <c r="AP5" s="3">
        <v>4E+20</v>
      </c>
      <c r="AQ5" s="3">
        <v>0</v>
      </c>
      <c r="AR5" s="3">
        <v>140</v>
      </c>
      <c r="AS5" s="3">
        <v>140</v>
      </c>
    </row>
    <row r="6" spans="1:52" x14ac:dyDescent="0.25">
      <c r="C6" t="s">
        <v>80</v>
      </c>
      <c r="D6" t="s">
        <v>77</v>
      </c>
      <c r="E6" s="3">
        <v>0</v>
      </c>
      <c r="F6" s="3">
        <v>1</v>
      </c>
      <c r="G6" s="3">
        <v>2E+20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140</v>
      </c>
      <c r="Q6" t="s">
        <v>95</v>
      </c>
      <c r="R6" t="s">
        <v>93</v>
      </c>
      <c r="S6" s="3">
        <v>1</v>
      </c>
      <c r="T6" s="3">
        <v>2E+20</v>
      </c>
      <c r="U6" s="3">
        <v>0</v>
      </c>
      <c r="V6" s="3">
        <v>1</v>
      </c>
      <c r="W6" s="3">
        <v>1</v>
      </c>
      <c r="X6" s="3">
        <v>1</v>
      </c>
      <c r="Y6" s="3">
        <v>1</v>
      </c>
      <c r="AL6" t="s">
        <v>133</v>
      </c>
      <c r="AM6" t="s">
        <v>114</v>
      </c>
      <c r="AN6" t="s">
        <v>93</v>
      </c>
      <c r="AO6" s="3">
        <v>92</v>
      </c>
      <c r="AP6" s="3">
        <v>4E+20</v>
      </c>
      <c r="AQ6" s="3">
        <v>0</v>
      </c>
      <c r="AR6" s="3">
        <v>92</v>
      </c>
      <c r="AS6" s="3">
        <v>92</v>
      </c>
    </row>
    <row r="7" spans="1:52" x14ac:dyDescent="0.25">
      <c r="C7" t="s">
        <v>81</v>
      </c>
      <c r="D7" t="s">
        <v>77</v>
      </c>
      <c r="E7" s="3">
        <v>0.53654961836069104</v>
      </c>
      <c r="F7" s="3">
        <v>1</v>
      </c>
      <c r="G7" s="3">
        <v>2E+20</v>
      </c>
      <c r="H7" s="3">
        <v>0</v>
      </c>
      <c r="I7" s="3">
        <v>0.53654961836069104</v>
      </c>
      <c r="J7" s="3">
        <v>0.53654961836069104</v>
      </c>
      <c r="K7" s="3">
        <v>1.83486377212034E-2</v>
      </c>
      <c r="L7" s="3">
        <v>2.3295187506546702</v>
      </c>
      <c r="M7" s="3">
        <v>140</v>
      </c>
      <c r="P7" t="s">
        <v>71</v>
      </c>
      <c r="Q7" t="s">
        <v>87</v>
      </c>
      <c r="R7" t="s">
        <v>73</v>
      </c>
      <c r="S7" s="3">
        <v>4.2328549651702997E-2</v>
      </c>
      <c r="T7" s="3">
        <v>2E+20</v>
      </c>
      <c r="U7" s="3">
        <v>0</v>
      </c>
      <c r="V7" s="3">
        <v>4.2328549651702997E-2</v>
      </c>
      <c r="W7" s="3">
        <v>4.2328549651702997E-2</v>
      </c>
      <c r="X7" s="3">
        <v>0</v>
      </c>
      <c r="Y7" s="3">
        <v>2</v>
      </c>
      <c r="AL7" t="s">
        <v>134</v>
      </c>
      <c r="AM7" t="s">
        <v>116</v>
      </c>
      <c r="AN7" t="s">
        <v>93</v>
      </c>
      <c r="AO7" s="3">
        <v>0.43063649084561101</v>
      </c>
      <c r="AP7" s="3">
        <v>4E+20</v>
      </c>
      <c r="AQ7" s="3">
        <v>0</v>
      </c>
      <c r="AR7" s="3">
        <v>0.43063649084561101</v>
      </c>
      <c r="AS7" s="3">
        <v>0.43063649084561101</v>
      </c>
    </row>
    <row r="8" spans="1:52" x14ac:dyDescent="0.25">
      <c r="C8" t="s">
        <v>82</v>
      </c>
      <c r="D8" t="s">
        <v>77</v>
      </c>
      <c r="E8" s="3">
        <v>0.121067730074729</v>
      </c>
      <c r="F8" s="3">
        <v>1</v>
      </c>
      <c r="G8" s="3">
        <v>2E+20</v>
      </c>
      <c r="H8" s="3">
        <v>0</v>
      </c>
      <c r="I8" s="3">
        <v>0.121067730074729</v>
      </c>
      <c r="J8" s="3">
        <v>0.121067730074729</v>
      </c>
      <c r="K8" s="3">
        <v>0</v>
      </c>
      <c r="L8" s="3">
        <v>2.6084115030701902</v>
      </c>
      <c r="M8" s="3">
        <v>140</v>
      </c>
      <c r="P8" t="s">
        <v>88</v>
      </c>
      <c r="Q8" t="s">
        <v>89</v>
      </c>
      <c r="R8" t="s">
        <v>77</v>
      </c>
      <c r="S8" s="3">
        <v>0</v>
      </c>
      <c r="T8" s="3">
        <v>2E+20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AL8" t="s">
        <v>107</v>
      </c>
      <c r="AM8" t="s">
        <v>108</v>
      </c>
      <c r="AN8" t="s">
        <v>77</v>
      </c>
      <c r="AO8" s="3">
        <v>0</v>
      </c>
      <c r="AP8" s="3">
        <v>4E+20</v>
      </c>
      <c r="AQ8" s="3">
        <v>0</v>
      </c>
      <c r="AR8" s="3">
        <v>0</v>
      </c>
      <c r="AS8" s="3">
        <v>0</v>
      </c>
    </row>
    <row r="9" spans="1:52" x14ac:dyDescent="0.25">
      <c r="B9" t="s">
        <v>71</v>
      </c>
      <c r="C9" t="s">
        <v>72</v>
      </c>
      <c r="D9" t="s">
        <v>73</v>
      </c>
      <c r="E9" s="3">
        <v>0.23166332464275799</v>
      </c>
      <c r="F9" s="3">
        <v>1</v>
      </c>
      <c r="G9" s="3">
        <v>2E+20</v>
      </c>
      <c r="H9" s="3">
        <v>0</v>
      </c>
      <c r="I9" s="3">
        <v>0.23166332464275799</v>
      </c>
      <c r="J9" s="3">
        <v>0.23166332464275799</v>
      </c>
      <c r="K9" s="3">
        <v>0</v>
      </c>
      <c r="L9" s="3">
        <v>1.69033188460219</v>
      </c>
      <c r="M9" s="3">
        <v>24</v>
      </c>
      <c r="P9" t="s">
        <v>90</v>
      </c>
      <c r="Q9" t="s">
        <v>89</v>
      </c>
      <c r="R9" t="s">
        <v>77</v>
      </c>
      <c r="S9" s="3">
        <v>0</v>
      </c>
      <c r="T9" s="3">
        <v>2E+20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AL9" t="s">
        <v>109</v>
      </c>
      <c r="AM9" t="s">
        <v>110</v>
      </c>
      <c r="AN9" t="s">
        <v>77</v>
      </c>
      <c r="AO9" s="3">
        <v>0</v>
      </c>
      <c r="AP9" s="3">
        <v>4E+20</v>
      </c>
      <c r="AQ9" s="3">
        <v>0</v>
      </c>
      <c r="AR9" s="3">
        <v>0</v>
      </c>
      <c r="AS9" s="3">
        <v>0</v>
      </c>
    </row>
    <row r="10" spans="1:52" x14ac:dyDescent="0.25">
      <c r="B10" t="s">
        <v>74</v>
      </c>
      <c r="C10" t="s">
        <v>72</v>
      </c>
      <c r="D10" t="s">
        <v>73</v>
      </c>
      <c r="E10" s="3">
        <v>5.4065798100501501E-3</v>
      </c>
      <c r="F10" s="3">
        <v>1</v>
      </c>
      <c r="G10" s="3">
        <v>2E+20</v>
      </c>
      <c r="H10" s="3">
        <v>0</v>
      </c>
      <c r="I10" s="3">
        <v>5.4065798100501501E-3</v>
      </c>
      <c r="J10" s="3">
        <v>5.4065798100501501E-3</v>
      </c>
      <c r="K10" s="3">
        <v>0</v>
      </c>
      <c r="L10" s="3">
        <v>0.177796325676297</v>
      </c>
      <c r="M10" s="3">
        <v>94</v>
      </c>
      <c r="P10" t="s">
        <v>91</v>
      </c>
      <c r="Q10" t="s">
        <v>92</v>
      </c>
      <c r="R10" t="s">
        <v>93</v>
      </c>
      <c r="S10" s="3">
        <v>1.7206952758516501E-2</v>
      </c>
      <c r="T10" s="3">
        <v>2E+20</v>
      </c>
      <c r="U10" s="3">
        <v>0</v>
      </c>
      <c r="V10" s="3">
        <v>1.7206952758516501E-2</v>
      </c>
      <c r="W10" s="3">
        <v>1.7206952758516501E-2</v>
      </c>
      <c r="X10" s="3">
        <v>0</v>
      </c>
      <c r="Y10" s="3">
        <v>1</v>
      </c>
      <c r="AL10" t="s">
        <v>111</v>
      </c>
      <c r="AM10" t="s">
        <v>108</v>
      </c>
      <c r="AN10" t="s">
        <v>77</v>
      </c>
      <c r="AO10" s="3">
        <v>0</v>
      </c>
      <c r="AP10" s="3">
        <v>4E+20</v>
      </c>
      <c r="AQ10" s="3">
        <v>0</v>
      </c>
      <c r="AR10" s="3">
        <v>0</v>
      </c>
      <c r="AS10" s="3">
        <v>0</v>
      </c>
    </row>
    <row r="11" spans="1:52" x14ac:dyDescent="0.25">
      <c r="B11" t="s">
        <v>83</v>
      </c>
      <c r="C11" t="s">
        <v>72</v>
      </c>
      <c r="D11" t="s">
        <v>73</v>
      </c>
      <c r="E11" s="3">
        <v>1.1983176233548E-2</v>
      </c>
      <c r="F11" s="3">
        <v>1</v>
      </c>
      <c r="G11" s="3">
        <v>2E+20</v>
      </c>
      <c r="H11" s="3">
        <v>0</v>
      </c>
      <c r="I11" s="3">
        <v>1.1983176233548E-2</v>
      </c>
      <c r="J11" s="3">
        <v>1.1983176233548E-2</v>
      </c>
      <c r="K11" s="3">
        <v>0</v>
      </c>
      <c r="L11" s="3">
        <v>0.21337368984011101</v>
      </c>
      <c r="M11" s="3">
        <v>46</v>
      </c>
      <c r="Q11" t="s">
        <v>94</v>
      </c>
      <c r="R11" t="s">
        <v>93</v>
      </c>
      <c r="S11" s="3">
        <v>1.7206952758516501E-2</v>
      </c>
      <c r="T11" s="3">
        <v>2E+20</v>
      </c>
      <c r="U11" s="3">
        <v>0</v>
      </c>
      <c r="V11" s="3">
        <v>1.7206952758516501E-2</v>
      </c>
      <c r="W11" s="3">
        <v>1.7206952758516501E-2</v>
      </c>
      <c r="X11" s="3">
        <v>0</v>
      </c>
      <c r="Y11" s="3">
        <v>1</v>
      </c>
      <c r="AL11" t="s">
        <v>112</v>
      </c>
      <c r="AM11" t="s">
        <v>110</v>
      </c>
      <c r="AN11" t="s">
        <v>77</v>
      </c>
      <c r="AO11" s="3">
        <v>0</v>
      </c>
      <c r="AP11" s="3">
        <v>4E+20</v>
      </c>
      <c r="AQ11" s="3">
        <v>0</v>
      </c>
      <c r="AR11" s="3">
        <v>0</v>
      </c>
      <c r="AS11" s="3">
        <v>0</v>
      </c>
    </row>
    <row r="12" spans="1:52" x14ac:dyDescent="0.25">
      <c r="B12" t="s">
        <v>84</v>
      </c>
      <c r="C12" t="s">
        <v>72</v>
      </c>
      <c r="D12" t="s">
        <v>73</v>
      </c>
      <c r="E12" s="3">
        <v>0.277801418108787</v>
      </c>
      <c r="F12" s="3">
        <v>1</v>
      </c>
      <c r="G12" s="3">
        <v>2E+20</v>
      </c>
      <c r="H12" s="3">
        <v>0</v>
      </c>
      <c r="I12" s="3">
        <v>0.277801418108787</v>
      </c>
      <c r="J12" s="3">
        <v>0.277801418108787</v>
      </c>
      <c r="K12" s="3">
        <v>0</v>
      </c>
      <c r="L12" s="3">
        <v>1.24491392901076</v>
      </c>
      <c r="M12" s="3">
        <v>22</v>
      </c>
      <c r="Q12" t="s">
        <v>95</v>
      </c>
      <c r="R12" t="s">
        <v>93</v>
      </c>
      <c r="S12" s="3">
        <v>1</v>
      </c>
      <c r="T12" s="3">
        <v>2E+20</v>
      </c>
      <c r="U12" s="3">
        <v>0</v>
      </c>
      <c r="V12" s="3">
        <v>1</v>
      </c>
      <c r="W12" s="3">
        <v>1</v>
      </c>
      <c r="X12" s="3">
        <v>1</v>
      </c>
      <c r="Y12" s="3">
        <v>1</v>
      </c>
      <c r="AL12" t="s">
        <v>113</v>
      </c>
      <c r="AM12" t="s">
        <v>114</v>
      </c>
      <c r="AN12" t="s">
        <v>93</v>
      </c>
      <c r="AO12" s="3">
        <v>140</v>
      </c>
      <c r="AP12" s="3">
        <v>4E+20</v>
      </c>
      <c r="AQ12" s="3">
        <v>0</v>
      </c>
      <c r="AR12" s="3">
        <v>140</v>
      </c>
      <c r="AS12" s="3">
        <v>140</v>
      </c>
    </row>
    <row r="13" spans="1:52" x14ac:dyDescent="0.25">
      <c r="B13" t="s">
        <v>85</v>
      </c>
      <c r="C13" t="s">
        <v>72</v>
      </c>
      <c r="D13" t="s">
        <v>73</v>
      </c>
      <c r="E13" s="3">
        <v>9.1261120416697303E-2</v>
      </c>
      <c r="F13" s="3">
        <v>1</v>
      </c>
      <c r="G13" s="3">
        <v>2E+20</v>
      </c>
      <c r="H13" s="3">
        <v>0</v>
      </c>
      <c r="I13" s="3">
        <v>9.1261120416697303E-2</v>
      </c>
      <c r="J13" s="3">
        <v>9.1261120416697303E-2</v>
      </c>
      <c r="K13" s="3">
        <v>0</v>
      </c>
      <c r="L13" s="3">
        <v>1.5956351991939499</v>
      </c>
      <c r="M13" s="3">
        <v>46</v>
      </c>
      <c r="P13" t="s">
        <v>96</v>
      </c>
      <c r="Q13" t="s">
        <v>89</v>
      </c>
      <c r="R13" t="s">
        <v>77</v>
      </c>
      <c r="S13" s="3">
        <v>0</v>
      </c>
      <c r="T13" s="3">
        <v>2E+20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AL13" t="s">
        <v>115</v>
      </c>
      <c r="AM13" t="s">
        <v>116</v>
      </c>
      <c r="AN13" t="s">
        <v>93</v>
      </c>
      <c r="AO13" s="3">
        <v>1.7206952758516501E-2</v>
      </c>
      <c r="AP13" s="3">
        <v>4E+20</v>
      </c>
      <c r="AQ13" s="3">
        <v>0</v>
      </c>
      <c r="AR13" s="3">
        <v>1.7206952758516501E-2</v>
      </c>
      <c r="AS13" s="3">
        <v>1.7206952758516501E-2</v>
      </c>
    </row>
    <row r="14" spans="1:52" x14ac:dyDescent="0.25">
      <c r="B14" t="s">
        <v>86</v>
      </c>
      <c r="C14" t="s">
        <v>72</v>
      </c>
      <c r="D14" t="s">
        <v>73</v>
      </c>
      <c r="E14" s="3">
        <v>1.4625051847575899E-4</v>
      </c>
      <c r="F14" s="3">
        <v>1</v>
      </c>
      <c r="G14" s="3">
        <v>2E+20</v>
      </c>
      <c r="H14" s="3">
        <v>0</v>
      </c>
      <c r="I14" s="3">
        <v>1.4625051847575899E-4</v>
      </c>
      <c r="J14" s="3">
        <v>1.4625051847575899E-4</v>
      </c>
      <c r="K14" s="3">
        <v>0</v>
      </c>
      <c r="L14" s="3">
        <v>1.3427097792401799E-2</v>
      </c>
      <c r="M14" s="3">
        <v>140</v>
      </c>
      <c r="P14" t="s">
        <v>97</v>
      </c>
      <c r="Q14" t="s">
        <v>89</v>
      </c>
      <c r="R14" t="s">
        <v>77</v>
      </c>
      <c r="S14" s="3">
        <v>0</v>
      </c>
      <c r="T14" s="3">
        <v>2E+20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AL14" t="s">
        <v>117</v>
      </c>
      <c r="AM14" t="s">
        <v>108</v>
      </c>
      <c r="AN14" t="s">
        <v>77</v>
      </c>
      <c r="AO14" s="3">
        <v>0</v>
      </c>
      <c r="AP14" s="3">
        <v>4E+20</v>
      </c>
      <c r="AQ14" s="3">
        <v>0</v>
      </c>
      <c r="AR14" s="3">
        <v>0</v>
      </c>
      <c r="AS14" s="3">
        <v>0</v>
      </c>
    </row>
    <row r="15" spans="1:52" x14ac:dyDescent="0.25">
      <c r="P15" t="s">
        <v>98</v>
      </c>
      <c r="Q15" t="s">
        <v>89</v>
      </c>
      <c r="R15" t="s">
        <v>77</v>
      </c>
      <c r="S15" s="3">
        <v>0</v>
      </c>
      <c r="T15" s="3">
        <v>2E+20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AL15" t="s">
        <v>118</v>
      </c>
      <c r="AM15" t="s">
        <v>110</v>
      </c>
      <c r="AN15" t="s">
        <v>77</v>
      </c>
      <c r="AO15" s="3">
        <v>0</v>
      </c>
      <c r="AP15" s="3">
        <v>4E+20</v>
      </c>
      <c r="AQ15" s="3">
        <v>0</v>
      </c>
      <c r="AR15" s="3">
        <v>0</v>
      </c>
      <c r="AS15" s="3">
        <v>0</v>
      </c>
    </row>
    <row r="16" spans="1:52" x14ac:dyDescent="0.25">
      <c r="P16" t="s">
        <v>99</v>
      </c>
      <c r="Q16" t="s">
        <v>89</v>
      </c>
      <c r="R16" t="s">
        <v>77</v>
      </c>
      <c r="S16" s="3">
        <v>0</v>
      </c>
      <c r="T16" s="3">
        <v>2E+20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AL16" t="s">
        <v>119</v>
      </c>
      <c r="AM16" t="s">
        <v>108</v>
      </c>
      <c r="AN16" t="s">
        <v>77</v>
      </c>
      <c r="AO16" s="3">
        <v>0</v>
      </c>
      <c r="AP16" s="3">
        <v>4E+20</v>
      </c>
      <c r="AQ16" s="3">
        <v>0</v>
      </c>
      <c r="AR16" s="3">
        <v>0</v>
      </c>
      <c r="AS16" s="3">
        <v>0</v>
      </c>
    </row>
    <row r="17" spans="16:45" x14ac:dyDescent="0.25">
      <c r="P17" t="s">
        <v>74</v>
      </c>
      <c r="Q17" t="s">
        <v>87</v>
      </c>
      <c r="R17" t="s">
        <v>73</v>
      </c>
      <c r="S17" s="3">
        <v>3.8691479210041799E-3</v>
      </c>
      <c r="T17" s="3">
        <v>2E+20</v>
      </c>
      <c r="U17" s="3">
        <v>0</v>
      </c>
      <c r="V17" s="3">
        <v>3.8691479210041799E-3</v>
      </c>
      <c r="W17" s="3">
        <v>3.8691479210041799E-3</v>
      </c>
      <c r="X17" s="3">
        <v>0</v>
      </c>
      <c r="Y17" s="3">
        <v>1</v>
      </c>
      <c r="AL17" t="s">
        <v>120</v>
      </c>
      <c r="AM17" t="s">
        <v>110</v>
      </c>
      <c r="AN17" t="s">
        <v>77</v>
      </c>
      <c r="AO17" s="3">
        <v>0</v>
      </c>
      <c r="AP17" s="3">
        <v>4E+20</v>
      </c>
      <c r="AQ17" s="3">
        <v>0</v>
      </c>
      <c r="AR17" s="3">
        <v>0</v>
      </c>
      <c r="AS17" s="3">
        <v>0</v>
      </c>
    </row>
    <row r="18" spans="16:45" x14ac:dyDescent="0.25">
      <c r="P18" t="s">
        <v>83</v>
      </c>
      <c r="Q18" t="s">
        <v>87</v>
      </c>
      <c r="R18" t="s">
        <v>73</v>
      </c>
      <c r="S18" s="3">
        <v>4.1965716240323298E-3</v>
      </c>
      <c r="T18" s="3">
        <v>2E+20</v>
      </c>
      <c r="U18" s="3">
        <v>0</v>
      </c>
      <c r="V18" s="3">
        <v>4.1965716240323298E-3</v>
      </c>
      <c r="W18" s="3">
        <v>4.1965716240323298E-3</v>
      </c>
      <c r="X18" s="3">
        <v>0</v>
      </c>
      <c r="Y18" s="3">
        <v>1</v>
      </c>
      <c r="AL18" t="s">
        <v>121</v>
      </c>
      <c r="AM18" t="s">
        <v>108</v>
      </c>
      <c r="AN18" t="s">
        <v>77</v>
      </c>
      <c r="AO18" s="3">
        <v>0</v>
      </c>
      <c r="AP18" s="3">
        <v>4E+20</v>
      </c>
      <c r="AQ18" s="3">
        <v>0</v>
      </c>
      <c r="AR18" s="3">
        <v>0</v>
      </c>
      <c r="AS18" s="3">
        <v>0</v>
      </c>
    </row>
    <row r="19" spans="16:45" x14ac:dyDescent="0.25">
      <c r="P19" t="s">
        <v>100</v>
      </c>
      <c r="Q19" t="s">
        <v>89</v>
      </c>
      <c r="R19" t="s">
        <v>77</v>
      </c>
      <c r="S19" s="3">
        <v>0</v>
      </c>
      <c r="T19" s="3">
        <v>2E+20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AL19" t="s">
        <v>122</v>
      </c>
      <c r="AM19" t="s">
        <v>110</v>
      </c>
      <c r="AN19" t="s">
        <v>77</v>
      </c>
      <c r="AO19" s="3">
        <v>0</v>
      </c>
      <c r="AP19" s="3">
        <v>4E+20</v>
      </c>
      <c r="AQ19" s="3">
        <v>0</v>
      </c>
      <c r="AR19" s="3">
        <v>0</v>
      </c>
      <c r="AS19" s="3">
        <v>0</v>
      </c>
    </row>
    <row r="20" spans="16:45" x14ac:dyDescent="0.25">
      <c r="P20" t="s">
        <v>101</v>
      </c>
      <c r="Q20" t="s">
        <v>89</v>
      </c>
      <c r="R20" t="s">
        <v>77</v>
      </c>
      <c r="S20" s="3">
        <v>0</v>
      </c>
      <c r="T20" s="3">
        <v>2E+20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AL20" t="s">
        <v>123</v>
      </c>
      <c r="AM20" t="s">
        <v>108</v>
      </c>
      <c r="AN20" t="s">
        <v>77</v>
      </c>
      <c r="AO20" s="3">
        <v>0</v>
      </c>
      <c r="AP20" s="3">
        <v>4E+20</v>
      </c>
      <c r="AQ20" s="3">
        <v>0</v>
      </c>
      <c r="AR20" s="3">
        <v>0</v>
      </c>
      <c r="AS20" s="3">
        <v>0</v>
      </c>
    </row>
    <row r="21" spans="16:45" x14ac:dyDescent="0.25">
      <c r="P21" t="s">
        <v>102</v>
      </c>
      <c r="Q21" t="s">
        <v>89</v>
      </c>
      <c r="R21" t="s">
        <v>77</v>
      </c>
      <c r="S21" s="3">
        <v>0</v>
      </c>
      <c r="T21" s="3">
        <v>2E+20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AL21" t="s">
        <v>124</v>
      </c>
      <c r="AM21" t="s">
        <v>110</v>
      </c>
      <c r="AN21" t="s">
        <v>77</v>
      </c>
      <c r="AO21" s="3">
        <v>0</v>
      </c>
      <c r="AP21" s="3">
        <v>4E+20</v>
      </c>
      <c r="AQ21" s="3">
        <v>0</v>
      </c>
      <c r="AR21" s="3">
        <v>0</v>
      </c>
      <c r="AS21" s="3">
        <v>0</v>
      </c>
    </row>
    <row r="22" spans="16:45" x14ac:dyDescent="0.25">
      <c r="P22" t="s">
        <v>84</v>
      </c>
      <c r="Q22" t="s">
        <v>87</v>
      </c>
      <c r="R22" t="s">
        <v>73</v>
      </c>
      <c r="S22" s="3">
        <v>4.6528815943175601E-2</v>
      </c>
      <c r="T22" s="3">
        <v>2E+20</v>
      </c>
      <c r="U22" s="3">
        <v>0</v>
      </c>
      <c r="V22" s="3">
        <v>4.6528815943175601E-2</v>
      </c>
      <c r="W22" s="3">
        <v>4.6528815943175601E-2</v>
      </c>
      <c r="X22" s="3">
        <v>0</v>
      </c>
      <c r="Y22" s="3">
        <v>2</v>
      </c>
      <c r="AL22" t="s">
        <v>127</v>
      </c>
      <c r="AM22" t="s">
        <v>108</v>
      </c>
      <c r="AN22" t="s">
        <v>77</v>
      </c>
      <c r="AO22" s="3">
        <v>0</v>
      </c>
      <c r="AP22" s="3">
        <v>4E+20</v>
      </c>
      <c r="AQ22" s="3">
        <v>0</v>
      </c>
      <c r="AR22" s="3">
        <v>0</v>
      </c>
      <c r="AS22" s="3">
        <v>0</v>
      </c>
    </row>
    <row r="23" spans="16:45" x14ac:dyDescent="0.25">
      <c r="P23" t="s">
        <v>85</v>
      </c>
      <c r="Q23" t="s">
        <v>87</v>
      </c>
      <c r="R23" t="s">
        <v>73</v>
      </c>
      <c r="S23" s="3">
        <v>3.1960126501845897E-2</v>
      </c>
      <c r="T23" s="3">
        <v>2E+20</v>
      </c>
      <c r="U23" s="3">
        <v>0</v>
      </c>
      <c r="V23" s="3">
        <v>3.1960126501845897E-2</v>
      </c>
      <c r="W23" s="3">
        <v>3.1960126501845897E-2</v>
      </c>
      <c r="X23" s="3">
        <v>0</v>
      </c>
      <c r="Y23" s="3">
        <v>1</v>
      </c>
      <c r="AL23" t="s">
        <v>128</v>
      </c>
      <c r="AM23" t="s">
        <v>110</v>
      </c>
      <c r="AN23" t="s">
        <v>77</v>
      </c>
      <c r="AO23" s="3">
        <v>0</v>
      </c>
      <c r="AP23" s="3">
        <v>4E+20</v>
      </c>
      <c r="AQ23" s="3">
        <v>0</v>
      </c>
      <c r="AR23" s="3">
        <v>0</v>
      </c>
      <c r="AS23" s="3">
        <v>0</v>
      </c>
    </row>
    <row r="24" spans="16:45" x14ac:dyDescent="0.25">
      <c r="P24" t="s">
        <v>86</v>
      </c>
      <c r="Q24" t="s">
        <v>87</v>
      </c>
      <c r="R24" t="s">
        <v>73</v>
      </c>
      <c r="S24" s="3">
        <v>1.5587996933712499E-4</v>
      </c>
      <c r="T24" s="3">
        <v>2E+20</v>
      </c>
      <c r="U24" s="3">
        <v>0</v>
      </c>
      <c r="V24" s="3">
        <v>1.5587996933712499E-4</v>
      </c>
      <c r="W24" s="3">
        <v>1.5587996933712499E-4</v>
      </c>
      <c r="X24" s="3">
        <v>0</v>
      </c>
      <c r="Y24" s="3">
        <v>1</v>
      </c>
      <c r="AL24" t="s">
        <v>129</v>
      </c>
      <c r="AM24" t="s">
        <v>108</v>
      </c>
      <c r="AN24" t="s">
        <v>77</v>
      </c>
      <c r="AO24" s="3">
        <v>0</v>
      </c>
      <c r="AP24" s="3">
        <v>4E+20</v>
      </c>
      <c r="AQ24" s="3">
        <v>0</v>
      </c>
      <c r="AR24" s="3">
        <v>0</v>
      </c>
      <c r="AS24" s="3">
        <v>0</v>
      </c>
    </row>
    <row r="25" spans="16:45" x14ac:dyDescent="0.25">
      <c r="P25" t="s">
        <v>104</v>
      </c>
      <c r="Q25" t="s">
        <v>89</v>
      </c>
      <c r="R25" t="s">
        <v>77</v>
      </c>
      <c r="S25" s="3">
        <v>0</v>
      </c>
      <c r="T25" s="3">
        <v>2E+20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AL25" t="s">
        <v>130</v>
      </c>
      <c r="AM25" t="s">
        <v>110</v>
      </c>
      <c r="AN25" t="s">
        <v>77</v>
      </c>
      <c r="AO25" s="3">
        <v>0</v>
      </c>
      <c r="AP25" s="3">
        <v>4E+20</v>
      </c>
      <c r="AQ25" s="3">
        <v>0</v>
      </c>
      <c r="AR25" s="3">
        <v>0</v>
      </c>
      <c r="AS25" s="3">
        <v>0</v>
      </c>
    </row>
    <row r="26" spans="16:45" x14ac:dyDescent="0.25">
      <c r="P26" t="s">
        <v>105</v>
      </c>
      <c r="Q26" t="s">
        <v>89</v>
      </c>
      <c r="R26" t="s">
        <v>77</v>
      </c>
      <c r="S26" s="3">
        <v>0</v>
      </c>
      <c r="T26" s="3">
        <v>2E+20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AL26" t="s">
        <v>131</v>
      </c>
      <c r="AM26" t="s">
        <v>108</v>
      </c>
      <c r="AN26" t="s">
        <v>77</v>
      </c>
      <c r="AO26" s="3">
        <v>0</v>
      </c>
      <c r="AP26" s="3">
        <v>4E+20</v>
      </c>
      <c r="AQ26" s="3">
        <v>0</v>
      </c>
      <c r="AR26" s="3">
        <v>0</v>
      </c>
      <c r="AS26" s="3">
        <v>0</v>
      </c>
    </row>
    <row r="27" spans="16:45" x14ac:dyDescent="0.25">
      <c r="P27" t="s">
        <v>106</v>
      </c>
      <c r="Q27" t="s">
        <v>92</v>
      </c>
      <c r="R27" t="s">
        <v>93</v>
      </c>
      <c r="S27" s="3">
        <v>0.12403376359889</v>
      </c>
      <c r="T27" s="3">
        <v>2E+20</v>
      </c>
      <c r="U27" s="3">
        <v>0</v>
      </c>
      <c r="V27" s="3">
        <v>0.12403376359889</v>
      </c>
      <c r="W27" s="3">
        <v>0.12403376359889</v>
      </c>
      <c r="X27" s="3">
        <v>0</v>
      </c>
      <c r="Y27" s="3">
        <v>1</v>
      </c>
      <c r="AL27" t="s">
        <v>132</v>
      </c>
      <c r="AM27" t="s">
        <v>110</v>
      </c>
      <c r="AN27" t="s">
        <v>77</v>
      </c>
      <c r="AO27" s="3">
        <v>0</v>
      </c>
      <c r="AP27" s="3">
        <v>4E+20</v>
      </c>
      <c r="AQ27" s="3">
        <v>0</v>
      </c>
      <c r="AR27" s="3">
        <v>0</v>
      </c>
      <c r="AS27" s="3">
        <v>0</v>
      </c>
    </row>
    <row r="28" spans="16:45" x14ac:dyDescent="0.25">
      <c r="Q28" t="s">
        <v>94</v>
      </c>
      <c r="R28" t="s">
        <v>93</v>
      </c>
      <c r="S28" s="3">
        <v>0.12403376359889</v>
      </c>
      <c r="T28" s="3">
        <v>2E+20</v>
      </c>
      <c r="U28" s="3">
        <v>0</v>
      </c>
      <c r="V28" s="3">
        <v>0.12403376359889</v>
      </c>
      <c r="W28" s="3">
        <v>0.12403376359889</v>
      </c>
      <c r="X28" s="3">
        <v>0</v>
      </c>
      <c r="Y28" s="3">
        <v>1</v>
      </c>
      <c r="AL28" t="s">
        <v>137</v>
      </c>
      <c r="AM28" t="s">
        <v>108</v>
      </c>
      <c r="AN28" t="s">
        <v>77</v>
      </c>
      <c r="AO28" s="3">
        <v>0</v>
      </c>
      <c r="AP28" s="3">
        <v>4E+20</v>
      </c>
      <c r="AQ28" s="3">
        <v>0</v>
      </c>
      <c r="AR28" s="3">
        <v>0</v>
      </c>
      <c r="AS28" s="3">
        <v>0</v>
      </c>
    </row>
    <row r="29" spans="16:45" x14ac:dyDescent="0.25">
      <c r="Q29" t="s">
        <v>95</v>
      </c>
      <c r="R29" t="s">
        <v>93</v>
      </c>
      <c r="S29" s="3">
        <v>1</v>
      </c>
      <c r="T29" s="3">
        <v>2E+20</v>
      </c>
      <c r="U29" s="3">
        <v>0</v>
      </c>
      <c r="V29" s="3">
        <v>1</v>
      </c>
      <c r="W29" s="3">
        <v>1</v>
      </c>
      <c r="X29" s="3">
        <v>1</v>
      </c>
      <c r="Y29" s="3">
        <v>1</v>
      </c>
      <c r="AL29" t="s">
        <v>138</v>
      </c>
      <c r="AM29" t="s">
        <v>110</v>
      </c>
      <c r="AN29" t="s">
        <v>77</v>
      </c>
      <c r="AO29" s="3">
        <v>0</v>
      </c>
      <c r="AP29" s="3">
        <v>4E+20</v>
      </c>
      <c r="AQ29" s="3">
        <v>0</v>
      </c>
      <c r="AR29" s="3">
        <v>0</v>
      </c>
      <c r="AS29" s="3">
        <v>0</v>
      </c>
    </row>
    <row r="30" spans="16:45" x14ac:dyDescent="0.25">
      <c r="AL30" t="s">
        <v>139</v>
      </c>
      <c r="AM30" t="s">
        <v>108</v>
      </c>
      <c r="AN30" t="s">
        <v>77</v>
      </c>
      <c r="AO30" s="3">
        <v>0</v>
      </c>
      <c r="AP30" s="3">
        <v>4E+20</v>
      </c>
      <c r="AQ30" s="3">
        <v>0</v>
      </c>
      <c r="AR30" s="3">
        <v>0</v>
      </c>
      <c r="AS30" s="3">
        <v>0</v>
      </c>
    </row>
    <row r="31" spans="16:45" x14ac:dyDescent="0.25">
      <c r="AL31" t="s">
        <v>140</v>
      </c>
      <c r="AM31" t="s">
        <v>110</v>
      </c>
      <c r="AN31" t="s">
        <v>77</v>
      </c>
      <c r="AO31" s="3">
        <v>0</v>
      </c>
      <c r="AP31" s="3">
        <v>4E+20</v>
      </c>
      <c r="AQ31" s="3">
        <v>0</v>
      </c>
      <c r="AR31" s="3">
        <v>0</v>
      </c>
      <c r="AS31" s="3">
        <v>0</v>
      </c>
    </row>
    <row r="32" spans="16:45" x14ac:dyDescent="0.25">
      <c r="AL32" t="s">
        <v>141</v>
      </c>
      <c r="AM32" t="s">
        <v>114</v>
      </c>
      <c r="AN32" t="s">
        <v>93</v>
      </c>
      <c r="AO32" s="3">
        <v>140</v>
      </c>
      <c r="AP32" s="3">
        <v>4E+20</v>
      </c>
      <c r="AQ32" s="3">
        <v>0</v>
      </c>
      <c r="AR32" s="3">
        <v>140</v>
      </c>
      <c r="AS32" s="3">
        <v>140</v>
      </c>
    </row>
    <row r="33" spans="38:45" x14ac:dyDescent="0.25">
      <c r="AL33" t="s">
        <v>142</v>
      </c>
      <c r="AM33" t="s">
        <v>116</v>
      </c>
      <c r="AN33" t="s">
        <v>93</v>
      </c>
      <c r="AO33" s="3">
        <v>0.12403376359889</v>
      </c>
      <c r="AP33" s="3">
        <v>4E+20</v>
      </c>
      <c r="AQ33" s="3">
        <v>0</v>
      </c>
      <c r="AR33" s="3">
        <v>0.12403376359889</v>
      </c>
      <c r="AS33" s="3">
        <v>0.12403376359889</v>
      </c>
    </row>
  </sheetData>
  <dataConsolidate/>
  <conditionalFormatting pivot="1" sqref="G3:G14">
    <cfRule type="expression" dxfId="32" priority="14">
      <formula>G3=200000000000000000000</formula>
    </cfRule>
  </conditionalFormatting>
  <conditionalFormatting pivot="1" sqref="T3:T29">
    <cfRule type="expression" dxfId="31" priority="13">
      <formula>T3=200000000000000000000</formula>
    </cfRule>
  </conditionalFormatting>
  <conditionalFormatting pivot="1" sqref="T3:T29">
    <cfRule type="expression" dxfId="30" priority="12">
      <formula>T3=300000000000000000000</formula>
    </cfRule>
  </conditionalFormatting>
  <conditionalFormatting pivot="1" sqref="G3:G14">
    <cfRule type="expression" dxfId="29" priority="11">
      <formula>G3=300000000000000000000</formula>
    </cfRule>
  </conditionalFormatting>
  <conditionalFormatting pivot="1" sqref="F3:F14">
    <cfRule type="expression" dxfId="28" priority="10">
      <formula>F3=0</formula>
    </cfRule>
  </conditionalFormatting>
  <conditionalFormatting pivot="1" sqref="F3:F14">
    <cfRule type="expression" dxfId="27" priority="9">
      <formula>F3=1</formula>
    </cfRule>
  </conditionalFormatting>
  <conditionalFormatting pivot="1" sqref="T3:T29">
    <cfRule type="expression" dxfId="26" priority="8">
      <formula>T3=400000000000000000000</formula>
    </cfRule>
  </conditionalFormatting>
  <conditionalFormatting pivot="1" sqref="AP3:AP33">
    <cfRule type="expression" dxfId="25" priority="7">
      <formula>AP3=400000000000000000000</formula>
    </cfRule>
  </conditionalFormatting>
  <conditionalFormatting pivot="1" sqref="AF3">
    <cfRule type="expression" dxfId="24" priority="6">
      <formula>AF3=400000000000000000000</formula>
    </cfRule>
  </conditionalFormatting>
  <conditionalFormatting pivot="1" sqref="G3:G14">
    <cfRule type="expression" dxfId="23" priority="5">
      <formula>G3=400000000000000000000</formula>
    </cfRule>
  </conditionalFormatting>
  <conditionalFormatting pivot="1" sqref="AZ3">
    <cfRule type="expression" dxfId="2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3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1406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7.28515625" bestFit="1" customWidth="1"/>
    <col min="13" max="13" width="17.28515625" bestFit="1" customWidth="1"/>
    <col min="14" max="14" width="20.28515625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customWidth="1"/>
    <col min="20" max="20" width="18.5703125" customWidth="1"/>
    <col min="21" max="21" width="18.85546875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0.23166332464275799</v>
      </c>
      <c r="H2">
        <v>2E+20</v>
      </c>
      <c r="I2">
        <v>0</v>
      </c>
      <c r="J2">
        <v>1.69033188460219</v>
      </c>
      <c r="K2">
        <v>24</v>
      </c>
      <c r="L2" t="str">
        <f>DiscreteStatsTable[[#This Row],[ProjectName]]&amp;DiscreteStatsTable[[#This Row],[Name]]&amp;DiscreteStatsTable[[#This Row],[Type]]&amp;DiscreteStatsTable[[#This Row],[Source]]</f>
        <v>Unnamed ProjectAdd Songs.QueueWaiting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0.23166332464275799</v>
      </c>
      <c r="O2" s="3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>
        <f t="array" ref="R2">MIN(IF((DiscreteStatsTable[GroupByKey]=DiscreteStatsTable[[#This Row],[GroupByKey]]),(DiscreteStatsTable[GroupByKey]=DiscreteStatsTable[[#This Row],[GroupByKey]])*DiscreteStatsTable[Average]))</f>
        <v>0.23166332464275799</v>
      </c>
      <c r="S2" s="3">
        <f t="array" ref="S2">MAX(IF((DiscreteStatsTable[GroupByKey]=DiscreteStatsTable[[#This Row],[GroupByKey]]),(DiscreteStatsTable[GroupByKey]=DiscreteStatsTable[[#This Row],[GroupByKey]])*DiscreteStatsTable[Average]))</f>
        <v>0.23166332464275799</v>
      </c>
      <c r="T2" s="3">
        <f t="array" ref="T2">MIN(IF((DiscreteStatsTable[GroupByKey]=DiscreteStatsTable[[#This Row],[GroupByKey]]),(DiscreteStatsTable[GroupByKey]=DiscreteStatsTable[[#This Row],[GroupByKey]])*DiscreteStatsTable[Minimum]))</f>
        <v>0</v>
      </c>
      <c r="U2" s="3">
        <f t="array" ref="U2">MAX(IF((DiscreteStatsTable[GroupByKey]=DiscreteStatsTable[[#This Row],[GroupByKey]]),(DiscreteStatsTable[GroupByKey]=DiscreteStatsTable[[#This Row],[GroupByKey]])*DiscreteStatsTable[Maximum]))</f>
        <v>1.69033188460219</v>
      </c>
      <c r="V2" s="3">
        <f t="array" ref="V2">IFERROR(AVERAGE(IF((DiscreteStatsTable[GroupByKey]=DiscreteStatsTable[[#This Row],[GroupByKey]]),(DiscreteStatsTable[GroupByKey]=DiscreteStatsTable[[#This Row],[GroupByKey]])*DiscreteStatsTable[NumberObservations])),0)</f>
        <v>24</v>
      </c>
      <c r="W2" s="3">
        <f>IF((DiscreteStatsTable[[#This Row],[RepsRequested]]&gt;1),DiscreteStatsTable[[#This Row],[HalfWidth]],DiscreteStatsTable[[#This Row],[BatchMeansHalfWidth]])</f>
        <v>2E+20</v>
      </c>
      <c r="X2" s="3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72</v>
      </c>
      <c r="F3" t="s">
        <v>73</v>
      </c>
      <c r="G3">
        <v>5.4065798100501501E-3</v>
      </c>
      <c r="H3">
        <v>2E+20</v>
      </c>
      <c r="I3">
        <v>0</v>
      </c>
      <c r="J3">
        <v>0.177796325676297</v>
      </c>
      <c r="K3">
        <v>94</v>
      </c>
      <c r="L3" t="str">
        <f>DiscreteStatsTable[[#This Row],[ProjectName]]&amp;DiscreteStatsTable[[#This Row],[Name]]&amp;DiscreteStatsTable[[#This Row],[Type]]&amp;DiscreteStatsTable[[#This Row],[Source]]</f>
        <v>Unnamed ProjectDelay.QueueWaiting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5.4065798100501501E-3</v>
      </c>
      <c r="O3" s="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>
        <f t="array" ref="R3">MIN(IF((DiscreteStatsTable[GroupByKey]=DiscreteStatsTable[[#This Row],[GroupByKey]]),(DiscreteStatsTable[GroupByKey]=DiscreteStatsTable[[#This Row],[GroupByKey]])*DiscreteStatsTable[Average]))</f>
        <v>5.4065798100501501E-3</v>
      </c>
      <c r="S3" s="3">
        <f t="array" ref="S3">MAX(IF((DiscreteStatsTable[GroupByKey]=DiscreteStatsTable[[#This Row],[GroupByKey]]),(DiscreteStatsTable[GroupByKey]=DiscreteStatsTable[[#This Row],[GroupByKey]])*DiscreteStatsTable[Average]))</f>
        <v>5.4065798100501501E-3</v>
      </c>
      <c r="T3" s="3">
        <f t="array" ref="T3">MIN(IF((DiscreteStatsTable[GroupByKey]=DiscreteStatsTable[[#This Row],[GroupByKey]]),(DiscreteStatsTable[GroupByKey]=DiscreteStatsTable[[#This Row],[GroupByKey]])*DiscreteStatsTable[Minimum]))</f>
        <v>0</v>
      </c>
      <c r="U3" s="3">
        <f t="array" ref="U3">MAX(IF((DiscreteStatsTable[GroupByKey]=DiscreteStatsTable[[#This Row],[GroupByKey]]),(DiscreteStatsTable[GroupByKey]=DiscreteStatsTable[[#This Row],[GroupByKey]])*DiscreteStatsTable[Maximum]))</f>
        <v>0.177796325676297</v>
      </c>
      <c r="V3" s="3">
        <f t="array" ref="V3">IFERROR(AVERAGE(IF((DiscreteStatsTable[GroupByKey]=DiscreteStatsTable[[#This Row],[GroupByKey]]),(DiscreteStatsTable[GroupByKey]=DiscreteStatsTable[[#This Row],[GroupByKey]])*DiscreteStatsTable[NumberObservations])),0)</f>
        <v>94</v>
      </c>
      <c r="W3" s="3">
        <f>IF((DiscreteStatsTable[[#This Row],[RepsRequested]]&gt;1),DiscreteStatsTable[[#This Row],[HalfWidth]],DiscreteStatsTable[[#This Row],[BatchMeansHalfWidth]])</f>
        <v>2E+20</v>
      </c>
      <c r="X3" s="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75</v>
      </c>
      <c r="E4" t="s">
        <v>76</v>
      </c>
      <c r="F4" t="s">
        <v>77</v>
      </c>
      <c r="G4">
        <v>0</v>
      </c>
      <c r="H4">
        <v>2E+20</v>
      </c>
      <c r="I4">
        <v>0</v>
      </c>
      <c r="J4">
        <v>0</v>
      </c>
      <c r="K4">
        <v>140</v>
      </c>
      <c r="L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s="3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>
        <f t="array" ref="R4">MIN(IF((DiscreteStatsTable[GroupByKey]=DiscreteStatsTable[[#This Row],[GroupByKey]]),(DiscreteStatsTable[GroupByKey]=DiscreteStatsTable[[#This Row],[GroupByKey]])*DiscreteStatsTable[Average]))</f>
        <v>0</v>
      </c>
      <c r="S4" s="3">
        <f t="array" ref="S4">MAX(IF((DiscreteStatsTable[GroupByKey]=DiscreteStatsTable[[#This Row],[GroupByKey]]),(DiscreteStatsTable[GroupByKey]=DiscreteStatsTable[[#This Row],[GroupByKey]])*DiscreteStatsTable[Average]))</f>
        <v>0</v>
      </c>
      <c r="T4" s="3">
        <f t="array" ref="T4">MIN(IF((DiscreteStatsTable[GroupByKey]=DiscreteStatsTable[[#This Row],[GroupByKey]]),(DiscreteStatsTable[GroupByKey]=DiscreteStatsTable[[#This Row],[GroupByKey]])*DiscreteStatsTable[Minimum]))</f>
        <v>0</v>
      </c>
      <c r="U4" s="3">
        <f t="array" ref="U4">MAX(IF((DiscreteStatsTable[GroupByKey]=DiscreteStatsTable[[#This Row],[GroupByKey]]),(DiscreteStatsTable[GroupByKey]=DiscreteStatsTable[[#This Row],[GroupByKey]])*DiscreteStatsTable[Maximum]))</f>
        <v>0</v>
      </c>
      <c r="V4" s="3">
        <f t="array" ref="V4">IFERROR(AVERAGE(IF((DiscreteStatsTable[GroupByKey]=DiscreteStatsTable[[#This Row],[GroupByKey]]),(DiscreteStatsTable[GroupByKey]=DiscreteStatsTable[[#This Row],[GroupByKey]])*DiscreteStatsTable[NumberObservations])),0)</f>
        <v>140</v>
      </c>
      <c r="W4" s="3">
        <f>IF((DiscreteStatsTable[[#This Row],[RepsRequested]]&gt;1),DiscreteStatsTable[[#This Row],[HalfWidth]],DiscreteStatsTable[[#This Row],[BatchMeansHalfWidth]])</f>
        <v>2E+20</v>
      </c>
      <c r="X4" s="3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75</v>
      </c>
      <c r="E5" t="s">
        <v>78</v>
      </c>
      <c r="F5" t="s">
        <v>77</v>
      </c>
      <c r="G5">
        <v>0</v>
      </c>
      <c r="H5">
        <v>2E+20</v>
      </c>
      <c r="I5">
        <v>0</v>
      </c>
      <c r="J5">
        <v>0</v>
      </c>
      <c r="K5">
        <v>140</v>
      </c>
      <c r="L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>
        <f t="array" ref="R5">MIN(IF((DiscreteStatsTable[GroupByKey]=DiscreteStatsTable[[#This Row],[GroupByKey]]),(DiscreteStatsTable[GroupByKey]=DiscreteStatsTable[[#This Row],[GroupByKey]])*DiscreteStatsTable[Average]))</f>
        <v>0</v>
      </c>
      <c r="S5" s="3">
        <f t="array" ref="S5">MAX(IF((DiscreteStatsTable[GroupByKey]=DiscreteStatsTable[[#This Row],[GroupByKey]]),(DiscreteStatsTable[GroupByKey]=DiscreteStatsTable[[#This Row],[GroupByKey]])*DiscreteStatsTable[Average]))</f>
        <v>0</v>
      </c>
      <c r="T5" s="3">
        <f t="array" ref="T5">MIN(IF((DiscreteStatsTable[GroupByKey]=DiscreteStatsTable[[#This Row],[GroupByKey]]),(DiscreteStatsTable[GroupByKey]=DiscreteStatsTable[[#This Row],[GroupByKey]])*DiscreteStatsTable[Minimum]))</f>
        <v>0</v>
      </c>
      <c r="U5" s="3">
        <f t="array" ref="U5">MAX(IF((DiscreteStatsTable[GroupByKey]=DiscreteStatsTable[[#This Row],[GroupByKey]]),(DiscreteStatsTable[GroupByKey]=DiscreteStatsTable[[#This Row],[GroupByKey]])*DiscreteStatsTable[Maximum]))</f>
        <v>0</v>
      </c>
      <c r="V5" s="3">
        <f t="array" ref="V5">IFERROR(AVERAGE(IF((DiscreteStatsTable[GroupByKey]=DiscreteStatsTable[[#This Row],[GroupByKey]]),(DiscreteStatsTable[GroupByKey]=DiscreteStatsTable[[#This Row],[GroupByKey]])*DiscreteStatsTable[NumberObservations])),0)</f>
        <v>140</v>
      </c>
      <c r="W5" s="3">
        <f>IF((DiscreteStatsTable[[#This Row],[RepsRequested]]&gt;1),DiscreteStatsTable[[#This Row],[HalfWidth]],DiscreteStatsTable[[#This Row],[BatchMeansHalfWidth]])</f>
        <v>2E+20</v>
      </c>
      <c r="X5" s="3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75</v>
      </c>
      <c r="E6" t="s">
        <v>79</v>
      </c>
      <c r="F6" t="s">
        <v>77</v>
      </c>
      <c r="G6">
        <v>0.65761734843541997</v>
      </c>
      <c r="H6">
        <v>2E+20</v>
      </c>
      <c r="I6">
        <v>1.83486377212034E-2</v>
      </c>
      <c r="J6">
        <v>3.87245110083721</v>
      </c>
      <c r="K6">
        <v>140</v>
      </c>
      <c r="L6" s="3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" s="3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>
        <f t="array" ref="N6">IFERROR(AVERAGE(IF((DiscreteStatsTable[GroupByKey]=DiscreteStatsTable[[#This Row],[GroupByKey]]),(DiscreteStatsTable[GroupByKey]=DiscreteStatsTable[[#This Row],[GroupByKey]])*DiscreteStatsTable[Average])),0)</f>
        <v>0.65761734843541997</v>
      </c>
      <c r="O6" s="3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>
        <f t="array" ref="R6">MIN(IF((DiscreteStatsTable[GroupByKey]=DiscreteStatsTable[[#This Row],[GroupByKey]]),(DiscreteStatsTable[GroupByKey]=DiscreteStatsTable[[#This Row],[GroupByKey]])*DiscreteStatsTable[Average]))</f>
        <v>0.65761734843541997</v>
      </c>
      <c r="S6" s="3">
        <f t="array" ref="S6">MAX(IF((DiscreteStatsTable[GroupByKey]=DiscreteStatsTable[[#This Row],[GroupByKey]]),(DiscreteStatsTable[GroupByKey]=DiscreteStatsTable[[#This Row],[GroupByKey]])*DiscreteStatsTable[Average]))</f>
        <v>0.65761734843541997</v>
      </c>
      <c r="T6" s="3">
        <f t="array" ref="T6">MIN(IF((DiscreteStatsTable[GroupByKey]=DiscreteStatsTable[[#This Row],[GroupByKey]]),(DiscreteStatsTable[GroupByKey]=DiscreteStatsTable[[#This Row],[GroupByKey]])*DiscreteStatsTable[Minimum]))</f>
        <v>1.83486377212034E-2</v>
      </c>
      <c r="U6" s="3">
        <f t="array" ref="U6">MAX(IF((DiscreteStatsTable[GroupByKey]=DiscreteStatsTable[[#This Row],[GroupByKey]]),(DiscreteStatsTable[GroupByKey]=DiscreteStatsTable[[#This Row],[GroupByKey]])*DiscreteStatsTable[Maximum]))</f>
        <v>3.87245110083721</v>
      </c>
      <c r="V6" s="3">
        <f t="array" ref="V6">IFERROR(AVERAGE(IF((DiscreteStatsTable[GroupByKey]=DiscreteStatsTable[[#This Row],[GroupByKey]]),(DiscreteStatsTable[GroupByKey]=DiscreteStatsTable[[#This Row],[GroupByKey]])*DiscreteStatsTable[NumberObservations])),0)</f>
        <v>140</v>
      </c>
      <c r="W6" s="3">
        <f>IF((DiscreteStatsTable[[#This Row],[RepsRequested]]&gt;1),DiscreteStatsTable[[#This Row],[HalfWidth]],DiscreteStatsTable[[#This Row],[BatchMeansHalfWidth]])</f>
        <v>2E+20</v>
      </c>
      <c r="X6" s="3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75</v>
      </c>
      <c r="E7" t="s">
        <v>80</v>
      </c>
      <c r="F7" t="s">
        <v>77</v>
      </c>
      <c r="G7">
        <v>0</v>
      </c>
      <c r="H7">
        <v>2E+20</v>
      </c>
      <c r="I7">
        <v>0</v>
      </c>
      <c r="J7">
        <v>0</v>
      </c>
      <c r="K7">
        <v>140</v>
      </c>
      <c r="L7" s="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" s="3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>
        <f t="array" ref="R7">MIN(IF((DiscreteStatsTable[GroupByKey]=DiscreteStatsTable[[#This Row],[GroupByKey]]),(DiscreteStatsTable[GroupByKey]=DiscreteStatsTable[[#This Row],[GroupByKey]])*DiscreteStatsTable[Average]))</f>
        <v>0</v>
      </c>
      <c r="S7" s="3">
        <f t="array" ref="S7">MAX(IF((DiscreteStatsTable[GroupByKey]=DiscreteStatsTable[[#This Row],[GroupByKey]]),(DiscreteStatsTable[GroupByKey]=DiscreteStatsTable[[#This Row],[GroupByKey]])*DiscreteStatsTable[Average]))</f>
        <v>0</v>
      </c>
      <c r="T7" s="3">
        <f t="array" ref="T7">MIN(IF((DiscreteStatsTable[GroupByKey]=DiscreteStatsTable[[#This Row],[GroupByKey]]),(DiscreteStatsTable[GroupByKey]=DiscreteStatsTable[[#This Row],[GroupByKey]])*DiscreteStatsTable[Minimum]))</f>
        <v>0</v>
      </c>
      <c r="U7" s="3">
        <f t="array" ref="U7">MAX(IF((DiscreteStatsTable[GroupByKey]=DiscreteStatsTable[[#This Row],[GroupByKey]]),(DiscreteStatsTable[GroupByKey]=DiscreteStatsTable[[#This Row],[GroupByKey]])*DiscreteStatsTable[Maximum]))</f>
        <v>0</v>
      </c>
      <c r="V7" s="3">
        <f t="array" ref="V7">IFERROR(AVERAGE(IF((DiscreteStatsTable[GroupByKey]=DiscreteStatsTable[[#This Row],[GroupByKey]]),(DiscreteStatsTable[GroupByKey]=DiscreteStatsTable[[#This Row],[GroupByKey]])*DiscreteStatsTable[NumberObservations])),0)</f>
        <v>140</v>
      </c>
      <c r="W7" s="3">
        <f>IF((DiscreteStatsTable[[#This Row],[RepsRequested]]&gt;1),DiscreteStatsTable[[#This Row],[HalfWidth]],DiscreteStatsTable[[#This Row],[BatchMeansHalfWidth]])</f>
        <v>2E+20</v>
      </c>
      <c r="X7" s="3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75</v>
      </c>
      <c r="E8" t="s">
        <v>81</v>
      </c>
      <c r="F8" t="s">
        <v>77</v>
      </c>
      <c r="G8">
        <v>0.53654961836069104</v>
      </c>
      <c r="H8">
        <v>2E+20</v>
      </c>
      <c r="I8">
        <v>1.83486377212034E-2</v>
      </c>
      <c r="J8">
        <v>2.3295187506546702</v>
      </c>
      <c r="K8">
        <v>140</v>
      </c>
      <c r="L8" s="3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" s="3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>
        <f t="array" ref="N8">IFERROR(AVERAGE(IF((DiscreteStatsTable[GroupByKey]=DiscreteStatsTable[[#This Row],[GroupByKey]]),(DiscreteStatsTable[GroupByKey]=DiscreteStatsTable[[#This Row],[GroupByKey]])*DiscreteStatsTable[Average])),0)</f>
        <v>0.53654961836069104</v>
      </c>
      <c r="O8" s="3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>
        <f t="array" ref="R8">MIN(IF((DiscreteStatsTable[GroupByKey]=DiscreteStatsTable[[#This Row],[GroupByKey]]),(DiscreteStatsTable[GroupByKey]=DiscreteStatsTable[[#This Row],[GroupByKey]])*DiscreteStatsTable[Average]))</f>
        <v>0.53654961836069104</v>
      </c>
      <c r="S8" s="3">
        <f t="array" ref="S8">MAX(IF((DiscreteStatsTable[GroupByKey]=DiscreteStatsTable[[#This Row],[GroupByKey]]),(DiscreteStatsTable[GroupByKey]=DiscreteStatsTable[[#This Row],[GroupByKey]])*DiscreteStatsTable[Average]))</f>
        <v>0.53654961836069104</v>
      </c>
      <c r="T8" s="3">
        <f t="array" ref="T8">MIN(IF((DiscreteStatsTable[GroupByKey]=DiscreteStatsTable[[#This Row],[GroupByKey]]),(DiscreteStatsTable[GroupByKey]=DiscreteStatsTable[[#This Row],[GroupByKey]])*DiscreteStatsTable[Minimum]))</f>
        <v>1.83486377212034E-2</v>
      </c>
      <c r="U8" s="3">
        <f t="array" ref="U8">MAX(IF((DiscreteStatsTable[GroupByKey]=DiscreteStatsTable[[#This Row],[GroupByKey]]),(DiscreteStatsTable[GroupByKey]=DiscreteStatsTable[[#This Row],[GroupByKey]])*DiscreteStatsTable[Maximum]))</f>
        <v>2.3295187506546702</v>
      </c>
      <c r="V8" s="3">
        <f t="array" ref="V8">IFERROR(AVERAGE(IF((DiscreteStatsTable[GroupByKey]=DiscreteStatsTable[[#This Row],[GroupByKey]]),(DiscreteStatsTable[GroupByKey]=DiscreteStatsTable[[#This Row],[GroupByKey]])*DiscreteStatsTable[NumberObservations])),0)</f>
        <v>140</v>
      </c>
      <c r="W8" s="3">
        <f>IF((DiscreteStatsTable[[#This Row],[RepsRequested]]&gt;1),DiscreteStatsTable[[#This Row],[HalfWidth]],DiscreteStatsTable[[#This Row],[BatchMeansHalfWidth]])</f>
        <v>2E+20</v>
      </c>
      <c r="X8" s="3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75</v>
      </c>
      <c r="E9" t="s">
        <v>82</v>
      </c>
      <c r="F9" t="s">
        <v>77</v>
      </c>
      <c r="G9">
        <v>0.121067730074729</v>
      </c>
      <c r="H9">
        <v>2E+20</v>
      </c>
      <c r="I9">
        <v>0</v>
      </c>
      <c r="J9">
        <v>2.6084115030701902</v>
      </c>
      <c r="K9">
        <v>140</v>
      </c>
      <c r="L9" s="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" s="3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>
        <f t="array" ref="N9">IFERROR(AVERAGE(IF((DiscreteStatsTable[GroupByKey]=DiscreteStatsTable[[#This Row],[GroupByKey]]),(DiscreteStatsTable[GroupByKey]=DiscreteStatsTable[[#This Row],[GroupByKey]])*DiscreteStatsTable[Average])),0)</f>
        <v>0.121067730074729</v>
      </c>
      <c r="O9" s="3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>
        <f t="array" ref="R9">MIN(IF((DiscreteStatsTable[GroupByKey]=DiscreteStatsTable[[#This Row],[GroupByKey]]),(DiscreteStatsTable[GroupByKey]=DiscreteStatsTable[[#This Row],[GroupByKey]])*DiscreteStatsTable[Average]))</f>
        <v>0.121067730074729</v>
      </c>
      <c r="S9" s="3">
        <f t="array" ref="S9">MAX(IF((DiscreteStatsTable[GroupByKey]=DiscreteStatsTable[[#This Row],[GroupByKey]]),(DiscreteStatsTable[GroupByKey]=DiscreteStatsTable[[#This Row],[GroupByKey]])*DiscreteStatsTable[Average]))</f>
        <v>0.121067730074729</v>
      </c>
      <c r="T9" s="3">
        <f t="array" ref="T9">MIN(IF((DiscreteStatsTable[GroupByKey]=DiscreteStatsTable[[#This Row],[GroupByKey]]),(DiscreteStatsTable[GroupByKey]=DiscreteStatsTable[[#This Row],[GroupByKey]])*DiscreteStatsTable[Minimum]))</f>
        <v>0</v>
      </c>
      <c r="U9" s="3">
        <f t="array" ref="U9">MAX(IF((DiscreteStatsTable[GroupByKey]=DiscreteStatsTable[[#This Row],[GroupByKey]]),(DiscreteStatsTable[GroupByKey]=DiscreteStatsTable[[#This Row],[GroupByKey]])*DiscreteStatsTable[Maximum]))</f>
        <v>2.6084115030701902</v>
      </c>
      <c r="V9" s="3">
        <f t="array" ref="V9">IFERROR(AVERAGE(IF((DiscreteStatsTable[GroupByKey]=DiscreteStatsTable[[#This Row],[GroupByKey]]),(DiscreteStatsTable[GroupByKey]=DiscreteStatsTable[[#This Row],[GroupByKey]])*DiscreteStatsTable[NumberObservations])),0)</f>
        <v>140</v>
      </c>
      <c r="W9" s="3">
        <f>IF((DiscreteStatsTable[[#This Row],[RepsRequested]]&gt;1),DiscreteStatsTable[[#This Row],[HalfWidth]],DiscreteStatsTable[[#This Row],[BatchMeansHalfWidth]])</f>
        <v>2E+20</v>
      </c>
      <c r="X9" s="3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83</v>
      </c>
      <c r="E10" t="s">
        <v>72</v>
      </c>
      <c r="F10" t="s">
        <v>73</v>
      </c>
      <c r="G10">
        <v>1.1983176233548E-2</v>
      </c>
      <c r="H10">
        <v>2E+20</v>
      </c>
      <c r="I10">
        <v>0</v>
      </c>
      <c r="J10">
        <v>0.21337368984011101</v>
      </c>
      <c r="K10">
        <v>46</v>
      </c>
      <c r="L10" s="3" t="str">
        <f>DiscreteStatsTable[[#This Row],[ProjectName]]&amp;DiscreteStatsTable[[#This Row],[Name]]&amp;DiscreteStatsTable[[#This Row],[Type]]&amp;DiscreteStatsTable[[#This Row],[Source]]</f>
        <v>Unnamed ProjectFeatured Charts.QueueWaiting TimeQueue</v>
      </c>
      <c r="M10" s="3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>
        <f t="array" ref="N10">IFERROR(AVERAGE(IF((DiscreteStatsTable[GroupByKey]=DiscreteStatsTable[[#This Row],[GroupByKey]]),(DiscreteStatsTable[GroupByKey]=DiscreteStatsTable[[#This Row],[GroupByKey]])*DiscreteStatsTable[Average])),0)</f>
        <v>1.1983176233548E-2</v>
      </c>
      <c r="O10" s="3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>
        <f t="array" ref="R10">MIN(IF((DiscreteStatsTable[GroupByKey]=DiscreteStatsTable[[#This Row],[GroupByKey]]),(DiscreteStatsTable[GroupByKey]=DiscreteStatsTable[[#This Row],[GroupByKey]])*DiscreteStatsTable[Average]))</f>
        <v>1.1983176233548E-2</v>
      </c>
      <c r="S10" s="3">
        <f t="array" ref="S10">MAX(IF((DiscreteStatsTable[GroupByKey]=DiscreteStatsTable[[#This Row],[GroupByKey]]),(DiscreteStatsTable[GroupByKey]=DiscreteStatsTable[[#This Row],[GroupByKey]])*DiscreteStatsTable[Average]))</f>
        <v>1.1983176233548E-2</v>
      </c>
      <c r="T10" s="3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>
        <f t="array" ref="U10">MAX(IF((DiscreteStatsTable[GroupByKey]=DiscreteStatsTable[[#This Row],[GroupByKey]]),(DiscreteStatsTable[GroupByKey]=DiscreteStatsTable[[#This Row],[GroupByKey]])*DiscreteStatsTable[Maximum]))</f>
        <v>0.21337368984011101</v>
      </c>
      <c r="V10" s="3">
        <f t="array" ref="V10">IFERROR(AVERAGE(IF((DiscreteStatsTable[GroupByKey]=DiscreteStatsTable[[#This Row],[GroupByKey]]),(DiscreteStatsTable[GroupByKey]=DiscreteStatsTable[[#This Row],[GroupByKey]])*DiscreteStatsTable[NumberObservations])),0)</f>
        <v>46</v>
      </c>
      <c r="W10" s="3">
        <f>IF((DiscreteStatsTable[[#This Row],[RepsRequested]]&gt;1),DiscreteStatsTable[[#This Row],[HalfWidth]],DiscreteStatsTable[[#This Row],[BatchMeansHalfWidth]])</f>
        <v>2E+20</v>
      </c>
      <c r="X10" s="3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84</v>
      </c>
      <c r="E11" t="s">
        <v>72</v>
      </c>
      <c r="F11" t="s">
        <v>73</v>
      </c>
      <c r="G11">
        <v>0.277801418108787</v>
      </c>
      <c r="H11">
        <v>2E+20</v>
      </c>
      <c r="I11">
        <v>0</v>
      </c>
      <c r="J11">
        <v>1.24491392901076</v>
      </c>
      <c r="K11">
        <v>22</v>
      </c>
      <c r="L11" s="3" t="str">
        <f>DiscreteStatsTable[[#This Row],[ProjectName]]&amp;DiscreteStatsTable[[#This Row],[Name]]&amp;DiscreteStatsTable[[#This Row],[Type]]&amp;DiscreteStatsTable[[#This Row],[Source]]</f>
        <v>Unnamed ProjectLiked Songs.QueueWaiting TimeQueue</v>
      </c>
      <c r="M11" s="3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>
        <f t="array" ref="N11">IFERROR(AVERAGE(IF((DiscreteStatsTable[GroupByKey]=DiscreteStatsTable[[#This Row],[GroupByKey]]),(DiscreteStatsTable[GroupByKey]=DiscreteStatsTable[[#This Row],[GroupByKey]])*DiscreteStatsTable[Average])),0)</f>
        <v>0.277801418108787</v>
      </c>
      <c r="O11" s="3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>
        <f t="array" ref="R11">MIN(IF((DiscreteStatsTable[GroupByKey]=DiscreteStatsTable[[#This Row],[GroupByKey]]),(DiscreteStatsTable[GroupByKey]=DiscreteStatsTable[[#This Row],[GroupByKey]])*DiscreteStatsTable[Average]))</f>
        <v>0.277801418108787</v>
      </c>
      <c r="S11" s="3">
        <f t="array" ref="S11">MAX(IF((DiscreteStatsTable[GroupByKey]=DiscreteStatsTable[[#This Row],[GroupByKey]]),(DiscreteStatsTable[GroupByKey]=DiscreteStatsTable[[#This Row],[GroupByKey]])*DiscreteStatsTable[Average]))</f>
        <v>0.277801418108787</v>
      </c>
      <c r="T11" s="3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>
        <f t="array" ref="U11">MAX(IF((DiscreteStatsTable[GroupByKey]=DiscreteStatsTable[[#This Row],[GroupByKey]]),(DiscreteStatsTable[GroupByKey]=DiscreteStatsTable[[#This Row],[GroupByKey]])*DiscreteStatsTable[Maximum]))</f>
        <v>1.24491392901076</v>
      </c>
      <c r="V11" s="3">
        <f t="array" ref="V11">IFERROR(AVERAGE(IF((DiscreteStatsTable[GroupByKey]=DiscreteStatsTable[[#This Row],[GroupByKey]]),(DiscreteStatsTable[GroupByKey]=DiscreteStatsTable[[#This Row],[GroupByKey]])*DiscreteStatsTable[NumberObservations])),0)</f>
        <v>22</v>
      </c>
      <c r="W11" s="3">
        <f>IF((DiscreteStatsTable[[#This Row],[RepsRequested]]&gt;1),DiscreteStatsTable[[#This Row],[HalfWidth]],DiscreteStatsTable[[#This Row],[BatchMeansHalfWidth]])</f>
        <v>2E+20</v>
      </c>
      <c r="X11" s="3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85</v>
      </c>
      <c r="E12" t="s">
        <v>72</v>
      </c>
      <c r="F12" t="s">
        <v>73</v>
      </c>
      <c r="G12">
        <v>9.1261120416697303E-2</v>
      </c>
      <c r="H12">
        <v>2E+20</v>
      </c>
      <c r="I12">
        <v>0</v>
      </c>
      <c r="J12">
        <v>1.5956351991939499</v>
      </c>
      <c r="K12">
        <v>46</v>
      </c>
      <c r="L12" t="str">
        <f>DiscreteStatsTable[[#This Row],[ProjectName]]&amp;DiscreteStatsTable[[#This Row],[Name]]&amp;DiscreteStatsTable[[#This Row],[Type]]&amp;DiscreteStatsTable[[#This Row],[Source]]</f>
        <v>Unnamed ProjectSTREAM.QueueWaiting TimeQueue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9.1261120416697303E-2</v>
      </c>
      <c r="O12" s="3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s="3">
        <f t="array" ref="R12">MIN(IF((DiscreteStatsTable[GroupByKey]=DiscreteStatsTable[[#This Row],[GroupByKey]]),(DiscreteStatsTable[GroupByKey]=DiscreteStatsTable[[#This Row],[GroupByKey]])*DiscreteStatsTable[Average]))</f>
        <v>9.1261120416697303E-2</v>
      </c>
      <c r="S12" s="3">
        <f t="array" ref="S12">MAX(IF((DiscreteStatsTable[GroupByKey]=DiscreteStatsTable[[#This Row],[GroupByKey]]),(DiscreteStatsTable[GroupByKey]=DiscreteStatsTable[[#This Row],[GroupByKey]])*DiscreteStatsTable[Average]))</f>
        <v>9.1261120416697303E-2</v>
      </c>
      <c r="T12" s="3">
        <f t="array" ref="T12">MIN(IF((DiscreteStatsTable[GroupByKey]=DiscreteStatsTable[[#This Row],[GroupByKey]]),(DiscreteStatsTable[GroupByKey]=DiscreteStatsTable[[#This Row],[GroupByKey]])*DiscreteStatsTable[Minimum]))</f>
        <v>0</v>
      </c>
      <c r="U12" s="3">
        <f t="array" ref="U12">MAX(IF((DiscreteStatsTable[GroupByKey]=DiscreteStatsTable[[#This Row],[GroupByKey]]),(DiscreteStatsTable[GroupByKey]=DiscreteStatsTable[[#This Row],[GroupByKey]])*DiscreteStatsTable[Maximum]))</f>
        <v>1.5956351991939499</v>
      </c>
      <c r="V12" s="3">
        <f t="array" ref="V12">IFERROR(AVERAGE(IF((DiscreteStatsTable[GroupByKey]=DiscreteStatsTable[[#This Row],[GroupByKey]]),(DiscreteStatsTable[GroupByKey]=DiscreteStatsTable[[#This Row],[GroupByKey]])*DiscreteStatsTable[NumberObservations])),0)</f>
        <v>46</v>
      </c>
      <c r="W12" s="3">
        <f>IF((DiscreteStatsTable[[#This Row],[RepsRequested]]&gt;1),DiscreteStatsTable[[#This Row],[HalfWidth]],DiscreteStatsTable[[#This Row],[BatchMeansHalfWidth]])</f>
        <v>2E+20</v>
      </c>
      <c r="X12" s="3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 s="3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</v>
      </c>
      <c r="D13" t="s">
        <v>86</v>
      </c>
      <c r="E13" t="s">
        <v>72</v>
      </c>
      <c r="F13" t="s">
        <v>73</v>
      </c>
      <c r="G13">
        <v>1.4625051847575899E-4</v>
      </c>
      <c r="H13">
        <v>2E+20</v>
      </c>
      <c r="I13">
        <v>0</v>
      </c>
      <c r="J13">
        <v>1.3427097792401799E-2</v>
      </c>
      <c r="K13">
        <v>140</v>
      </c>
      <c r="L13" t="str">
        <f>DiscreteStatsTable[[#This Row],[ProjectName]]&amp;DiscreteStatsTable[[#This Row],[Name]]&amp;DiscreteStatsTable[[#This Row],[Type]]&amp;DiscreteStatsTable[[#This Row],[Source]]</f>
        <v>Unnamed ProjectStreaming Server.QueueWaiting TimeQueue</v>
      </c>
      <c r="M13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>
        <f t="array" ref="N13">IFERROR(AVERAGE(IF((DiscreteStatsTable[GroupByKey]=DiscreteStatsTable[[#This Row],[GroupByKey]]),(DiscreteStatsTable[GroupByKey]=DiscreteStatsTable[[#This Row],[GroupByKey]])*DiscreteStatsTable[Average])),0)</f>
        <v>1.4625051847575899E-4</v>
      </c>
      <c r="O13" s="3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s="3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 s="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s="3">
        <f t="array" ref="R13">MIN(IF((DiscreteStatsTable[GroupByKey]=DiscreteStatsTable[[#This Row],[GroupByKey]]),(DiscreteStatsTable[GroupByKey]=DiscreteStatsTable[[#This Row],[GroupByKey]])*DiscreteStatsTable[Average]))</f>
        <v>1.4625051847575899E-4</v>
      </c>
      <c r="S13" s="3">
        <f t="array" ref="S13">MAX(IF((DiscreteStatsTable[GroupByKey]=DiscreteStatsTable[[#This Row],[GroupByKey]]),(DiscreteStatsTable[GroupByKey]=DiscreteStatsTable[[#This Row],[GroupByKey]])*DiscreteStatsTable[Average]))</f>
        <v>1.4625051847575899E-4</v>
      </c>
      <c r="T13" s="3">
        <f t="array" ref="T13">MIN(IF((DiscreteStatsTable[GroupByKey]=DiscreteStatsTable[[#This Row],[GroupByKey]]),(DiscreteStatsTable[GroupByKey]=DiscreteStatsTable[[#This Row],[GroupByKey]])*DiscreteStatsTable[Minimum]))</f>
        <v>0</v>
      </c>
      <c r="U13" s="3">
        <f t="array" ref="U13">MAX(IF((DiscreteStatsTable[GroupByKey]=DiscreteStatsTable[[#This Row],[GroupByKey]]),(DiscreteStatsTable[GroupByKey]=DiscreteStatsTable[[#This Row],[GroupByKey]])*DiscreteStatsTable[Maximum]))</f>
        <v>1.3427097792401799E-2</v>
      </c>
      <c r="V13" s="3">
        <f t="array" ref="V13">IFERROR(AVERAGE(IF((DiscreteStatsTable[GroupByKey]=DiscreteStatsTable[[#This Row],[GroupByKey]]),(DiscreteStatsTable[GroupByKey]=DiscreteStatsTable[[#This Row],[GroupByKey]])*DiscreteStatsTable[NumberObservations])),0)</f>
        <v>140</v>
      </c>
      <c r="W13" s="3">
        <f>IF((DiscreteStatsTable[[#This Row],[RepsRequested]]&gt;1),DiscreteStatsTable[[#This Row],[HalfWidth]],DiscreteStatsTable[[#This Row],[BatchMeansHalfWidth]])</f>
        <v>2E+20</v>
      </c>
      <c r="X13" s="3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 s="3">
        <f>IF(DiscreteStatsTable[[#This Row],[RepsRequested]]=DiscreteStatsTable[[#This Row],[RepsWithStatObserved]],1,0)</f>
        <v>1</v>
      </c>
    </row>
  </sheetData>
  <phoneticPr fontId="2" type="noConversion"/>
  <conditionalFormatting sqref="H2:H13 Q2:Q13">
    <cfRule type="expression" dxfId="21" priority="23">
      <formula>H2=200000000000000000000</formula>
    </cfRule>
  </conditionalFormatting>
  <conditionalFormatting sqref="H2:H13">
    <cfRule type="expression" dxfId="20" priority="21">
      <formula>H2=300000000000000000000</formula>
    </cfRule>
  </conditionalFormatting>
  <conditionalFormatting sqref="L2:Y13">
    <cfRule type="expression" dxfId="19" priority="19">
      <formula>MOD(ROW(),2)=0</formula>
    </cfRule>
  </conditionalFormatting>
  <conditionalFormatting sqref="Y2:Y13">
    <cfRule type="expression" dxfId="18" priority="14">
      <formula>Y2=0</formula>
    </cfRule>
    <cfRule type="expression" dxfId="17" priority="16">
      <formula>Y2=1</formula>
    </cfRule>
  </conditionalFormatting>
  <conditionalFormatting sqref="Y3:Y13">
    <cfRule type="expression" dxfId="16" priority="15">
      <formula>Y3=1</formula>
    </cfRule>
  </conditionalFormatting>
  <conditionalFormatting sqref="W2:W13">
    <cfRule type="expression" dxfId="15" priority="6">
      <formula>W2=300000000000000000000</formula>
    </cfRule>
    <cfRule type="expression" dxfId="14" priority="7">
      <formula>W2=200000000000000000000</formula>
    </cfRule>
  </conditionalFormatting>
  <conditionalFormatting sqref="Q2:Q13 W2:W13">
    <cfRule type="expression" dxfId="1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28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1406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87</v>
      </c>
      <c r="F2" t="s">
        <v>73</v>
      </c>
      <c r="G2">
        <v>4.2328549651702997E-2</v>
      </c>
      <c r="H2">
        <v>2E+20</v>
      </c>
      <c r="I2">
        <v>0</v>
      </c>
      <c r="J2">
        <v>2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ProjectAdd Songs.QueueNumber WaitingQueue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4.2328549651702997E-2</v>
      </c>
      <c r="P2" s="3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>
        <f t="array" ref="S2">MIN(IF((ContinuousStatsTable[GroupByKey]=ContinuousStatsTable[[#This Row],[GroupByKey]]),(ContinuousStatsTable[GroupByKey]=ContinuousStatsTable[[#This Row],[GroupByKey]])*ContinuousStatsTable[Average]))</f>
        <v>4.2328549651702997E-2</v>
      </c>
      <c r="T2" s="3">
        <f t="array" ref="T2">MAX(IF((ContinuousStatsTable[GroupByKey]=ContinuousStatsTable[[#This Row],[GroupByKey]]),(ContinuousStatsTable[GroupByKey]=ContinuousStatsTable[[#This Row],[GroupByKey]])*ContinuousStatsTable[Average]))</f>
        <v>4.2328549651702997E-2</v>
      </c>
      <c r="U2" s="3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88</v>
      </c>
      <c r="E3" t="s">
        <v>89</v>
      </c>
      <c r="F3" t="s">
        <v>77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ProjectAdeleWIPEntity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s="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s="3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 s="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90</v>
      </c>
      <c r="E4" t="s">
        <v>89</v>
      </c>
      <c r="F4" t="s">
        <v>77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ProjectAli ZafarWIPEntity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s="3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s="3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 s="3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91</v>
      </c>
      <c r="E5" t="s">
        <v>92</v>
      </c>
      <c r="F5" t="s">
        <v>93</v>
      </c>
      <c r="G5">
        <v>1.7206952758516501E-2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ProjectApp ServerInstantaneous UtilizationResource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1.7206952758516501E-2</v>
      </c>
      <c r="P5" s="3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>
        <f t="array" ref="S5">MIN(IF((ContinuousStatsTable[GroupByKey]=ContinuousStatsTable[[#This Row],[GroupByKey]]),(ContinuousStatsTable[GroupByKey]=ContinuousStatsTable[[#This Row],[GroupByKey]])*ContinuousStatsTable[Average]))</f>
        <v>1.7206952758516501E-2</v>
      </c>
      <c r="T5" s="3">
        <f t="array" ref="T5">MAX(IF((ContinuousStatsTable[GroupByKey]=ContinuousStatsTable[[#This Row],[GroupByKey]]),(ContinuousStatsTable[GroupByKey]=ContinuousStatsTable[[#This Row],[GroupByKey]])*ContinuousStatsTable[Average]))</f>
        <v>1.7206952758516501E-2</v>
      </c>
      <c r="U5" s="3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70</v>
      </c>
      <c r="C6">
        <v>1</v>
      </c>
      <c r="D6" t="s">
        <v>91</v>
      </c>
      <c r="E6" t="s">
        <v>94</v>
      </c>
      <c r="F6" t="s">
        <v>93</v>
      </c>
      <c r="G6">
        <v>1.7206952758516501E-2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ProjectApp ServerNumber BusyResource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1.7206952758516501E-2</v>
      </c>
      <c r="P6" s="3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>
        <f t="array" ref="S6">MIN(IF((ContinuousStatsTable[GroupByKey]=ContinuousStatsTable[[#This Row],[GroupByKey]]),(ContinuousStatsTable[GroupByKey]=ContinuousStatsTable[[#This Row],[GroupByKey]])*ContinuousStatsTable[Average]))</f>
        <v>1.7206952758516501E-2</v>
      </c>
      <c r="T6" s="3">
        <f t="array" ref="T6">MAX(IF((ContinuousStatsTable[GroupByKey]=ContinuousStatsTable[[#This Row],[GroupByKey]]),(ContinuousStatsTable[GroupByKey]=ContinuousStatsTable[[#This Row],[GroupByKey]])*ContinuousStatsTable[Average]))</f>
        <v>1.7206952758516501E-2</v>
      </c>
      <c r="U6" s="3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70</v>
      </c>
      <c r="C7">
        <v>1</v>
      </c>
      <c r="D7" t="s">
        <v>91</v>
      </c>
      <c r="E7" t="s">
        <v>95</v>
      </c>
      <c r="F7" t="s">
        <v>93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ProjectApp ServerNumber ScheduledResource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s="3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s="3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s="3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s="3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 s="3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70</v>
      </c>
      <c r="C8">
        <v>1</v>
      </c>
      <c r="D8" t="s">
        <v>96</v>
      </c>
      <c r="E8" t="s">
        <v>89</v>
      </c>
      <c r="F8" t="s">
        <v>77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ProjectAsim AzharWIPEntity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s="3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s="3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s="3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s="3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 s="3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70</v>
      </c>
      <c r="C9">
        <v>1</v>
      </c>
      <c r="D9" t="s">
        <v>97</v>
      </c>
      <c r="E9" t="s">
        <v>89</v>
      </c>
      <c r="F9" t="s">
        <v>77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ProjectAtif AslamWIPEntity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 s="3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s="3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s="3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s="3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 s="3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70</v>
      </c>
      <c r="C10">
        <v>1</v>
      </c>
      <c r="D10" t="s">
        <v>98</v>
      </c>
      <c r="E10" t="s">
        <v>89</v>
      </c>
      <c r="F10" t="s">
        <v>77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ProjectBhomeiaWIPEntity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s="3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s="3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s="3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s="3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 s="3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70</v>
      </c>
      <c r="C11">
        <v>1</v>
      </c>
      <c r="D11" t="s">
        <v>99</v>
      </c>
      <c r="E11" t="s">
        <v>89</v>
      </c>
      <c r="F11" t="s">
        <v>77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ProjectConan GrayWIPEntity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s="3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s="3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s="3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s="3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 s="3">
        <f>IF((ContinuousStatsTable[[#This Row],[RepsRequested]]&gt;1),ContinuousStatsTable[[#This Row],[HalfWidth]],ContinuousStatsTable[[#This Row],[BatchMeansHalfWidth]])</f>
        <v>2E+20</v>
      </c>
    </row>
    <row r="12" spans="1:21" x14ac:dyDescent="0.25">
      <c r="A12" t="s">
        <v>67</v>
      </c>
      <c r="B12" t="s">
        <v>70</v>
      </c>
      <c r="C12">
        <v>1</v>
      </c>
      <c r="D12" t="s">
        <v>74</v>
      </c>
      <c r="E12" t="s">
        <v>87</v>
      </c>
      <c r="F12" t="s">
        <v>73</v>
      </c>
      <c r="G12">
        <v>3.8691479210041799E-3</v>
      </c>
      <c r="H12">
        <v>2E+20</v>
      </c>
      <c r="I12">
        <v>0</v>
      </c>
      <c r="J12">
        <v>1</v>
      </c>
      <c r="K12">
        <v>0</v>
      </c>
      <c r="L12">
        <v>0</v>
      </c>
      <c r="M12" s="3" t="str">
        <f>ContinuousStatsTable[[#This Row],[ProjectName]]&amp;ContinuousStatsTable[[#This Row],[Name]]&amp;ContinuousStatsTable[[#This Row],[Type]]&amp;ContinuousStatsTable[[#This Row],[Source]]</f>
        <v>Unnamed ProjectDelay.QueueNumber WaitingQueue</v>
      </c>
      <c r="N12" s="3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3">
        <f t="array" ref="O12">IFERROR(AVERAGE(IF((ContinuousStatsTable[GroupByKey]=ContinuousStatsTable[[#This Row],[GroupByKey]]),(ContinuousStatsTable[GroupByKey]=ContinuousStatsTable[[#This Row],[GroupByKey]])*ContinuousStatsTable[Average])),0)</f>
        <v>3.8691479210041799E-3</v>
      </c>
      <c r="P12" s="3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3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3">
        <f t="array" ref="S12">MIN(IF((ContinuousStatsTable[GroupByKey]=ContinuousStatsTable[[#This Row],[GroupByKey]]),(ContinuousStatsTable[GroupByKey]=ContinuousStatsTable[[#This Row],[GroupByKey]])*ContinuousStatsTable[Average]))</f>
        <v>3.8691479210041799E-3</v>
      </c>
      <c r="T12" s="3">
        <f t="array" ref="T12">MAX(IF((ContinuousStatsTable[GroupByKey]=ContinuousStatsTable[[#This Row],[GroupByKey]]),(ContinuousStatsTable[GroupByKey]=ContinuousStatsTable[[#This Row],[GroupByKey]])*ContinuousStatsTable[Average]))</f>
        <v>3.8691479210041799E-3</v>
      </c>
      <c r="U12" s="3">
        <f>IF((ContinuousStatsTable[[#This Row],[RepsRequested]]&gt;1),ContinuousStatsTable[[#This Row],[HalfWidth]],ContinuousStatsTable[[#This Row],[BatchMeansHalfWidth]])</f>
        <v>2E+20</v>
      </c>
    </row>
    <row r="13" spans="1:21" x14ac:dyDescent="0.25">
      <c r="A13" t="s">
        <v>67</v>
      </c>
      <c r="B13" t="s">
        <v>70</v>
      </c>
      <c r="C13">
        <v>1</v>
      </c>
      <c r="D13" t="s">
        <v>75</v>
      </c>
      <c r="E13" t="s">
        <v>89</v>
      </c>
      <c r="F13" t="s">
        <v>77</v>
      </c>
      <c r="G13">
        <v>0.70091629881411599</v>
      </c>
      <c r="H13">
        <v>2E+20</v>
      </c>
      <c r="I13">
        <v>0</v>
      </c>
      <c r="J13">
        <v>3</v>
      </c>
      <c r="K13">
        <v>0</v>
      </c>
      <c r="L13">
        <v>0</v>
      </c>
      <c r="M13" s="3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3" s="3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3">
        <f t="array" ref="O13">IFERROR(AVERAGE(IF((ContinuousStatsTable[GroupByKey]=ContinuousStatsTable[[#This Row],[GroupByKey]]),(ContinuousStatsTable[GroupByKey]=ContinuousStatsTable[[#This Row],[GroupByKey]])*ContinuousStatsTable[Average])),0)</f>
        <v>0.70091629881411599</v>
      </c>
      <c r="P13" s="3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3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3">
        <f t="array" ref="S13">MIN(IF((ContinuousStatsTable[GroupByKey]=ContinuousStatsTable[[#This Row],[GroupByKey]]),(ContinuousStatsTable[GroupByKey]=ContinuousStatsTable[[#This Row],[GroupByKey]])*ContinuousStatsTable[Average]))</f>
        <v>0.70091629881411599</v>
      </c>
      <c r="T13" s="3">
        <f t="array" ref="T13">MAX(IF((ContinuousStatsTable[GroupByKey]=ContinuousStatsTable[[#This Row],[GroupByKey]]),(ContinuousStatsTable[GroupByKey]=ContinuousStatsTable[[#This Row],[GroupByKey]])*ContinuousStatsTable[Average]))</f>
        <v>0.70091629881411599</v>
      </c>
      <c r="U13" s="3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70</v>
      </c>
      <c r="C14">
        <v>1</v>
      </c>
      <c r="D14" t="s">
        <v>83</v>
      </c>
      <c r="E14" t="s">
        <v>87</v>
      </c>
      <c r="F14" t="s">
        <v>73</v>
      </c>
      <c r="G14">
        <v>4.1965716240323298E-3</v>
      </c>
      <c r="H14">
        <v>2E+20</v>
      </c>
      <c r="I14">
        <v>0</v>
      </c>
      <c r="J14">
        <v>1</v>
      </c>
      <c r="K14">
        <v>0</v>
      </c>
      <c r="L14">
        <v>0</v>
      </c>
      <c r="M14" s="3" t="str">
        <f>ContinuousStatsTable[[#This Row],[ProjectName]]&amp;ContinuousStatsTable[[#This Row],[Name]]&amp;ContinuousStatsTable[[#This Row],[Type]]&amp;ContinuousStatsTable[[#This Row],[Source]]</f>
        <v>Unnamed ProjectFeatured Charts.QueueNumber WaitingQueue</v>
      </c>
      <c r="N14" s="3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3">
        <f t="array" ref="O14">IFERROR(AVERAGE(IF((ContinuousStatsTable[GroupByKey]=ContinuousStatsTable[[#This Row],[GroupByKey]]),(ContinuousStatsTable[GroupByKey]=ContinuousStatsTable[[#This Row],[GroupByKey]])*ContinuousStatsTable[Average])),0)</f>
        <v>4.1965716240323298E-3</v>
      </c>
      <c r="P14" s="3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3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3">
        <f t="array" ref="S14">MIN(IF((ContinuousStatsTable[GroupByKey]=ContinuousStatsTable[[#This Row],[GroupByKey]]),(ContinuousStatsTable[GroupByKey]=ContinuousStatsTable[[#This Row],[GroupByKey]])*ContinuousStatsTable[Average]))</f>
        <v>4.1965716240323298E-3</v>
      </c>
      <c r="T14" s="3">
        <f t="array" ref="T14">MAX(IF((ContinuousStatsTable[GroupByKey]=ContinuousStatsTable[[#This Row],[GroupByKey]]),(ContinuousStatsTable[GroupByKey]=ContinuousStatsTable[[#This Row],[GroupByKey]])*ContinuousStatsTable[Average]))</f>
        <v>4.1965716240323298E-3</v>
      </c>
      <c r="U14" s="3">
        <f>IF((ContinuousStatsTable[[#This Row],[RepsRequested]]&gt;1),ContinuousStatsTable[[#This Row],[HalfWidth]],ContinuousStatsTable[[#This Row],[BatchMeansHalfWidth]])</f>
        <v>2E+20</v>
      </c>
    </row>
    <row r="15" spans="1:21" x14ac:dyDescent="0.25">
      <c r="A15" t="s">
        <v>67</v>
      </c>
      <c r="B15" t="s">
        <v>70</v>
      </c>
      <c r="C15">
        <v>1</v>
      </c>
      <c r="D15" t="s">
        <v>100</v>
      </c>
      <c r="E15" t="s">
        <v>89</v>
      </c>
      <c r="F15" t="s">
        <v>77</v>
      </c>
      <c r="G15">
        <v>0</v>
      </c>
      <c r="H15">
        <v>2E+20</v>
      </c>
      <c r="I15">
        <v>0</v>
      </c>
      <c r="J15">
        <v>0</v>
      </c>
      <c r="K15">
        <v>0</v>
      </c>
      <c r="L15">
        <v>0</v>
      </c>
      <c r="M15" s="3" t="str">
        <f>ContinuousStatsTable[[#This Row],[ProjectName]]&amp;ContinuousStatsTable[[#This Row],[Name]]&amp;ContinuousStatsTable[[#This Row],[Type]]&amp;ContinuousStatsTable[[#This Row],[Source]]</f>
        <v>Unnamed ProjectHarry StylesWIPEntity</v>
      </c>
      <c r="N15" s="3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3">
        <f t="array" ref="O15">IFERROR(AVERAGE(IF((ContinuousStatsTable[GroupByKey]=ContinuousStatsTable[[#This Row],[GroupByKey]]),(ContinuousStatsTable[GroupByKey]=ContinuousStatsTable[[#This Row],[GroupByKey]])*ContinuousStatsTable[Average])),0)</f>
        <v>0</v>
      </c>
      <c r="P15" s="3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3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3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3">
        <f t="array" ref="T15">MAX(IF((ContinuousStatsTable[GroupByKey]=ContinuousStatsTable[[#This Row],[GroupByKey]]),(ContinuousStatsTable[GroupByKey]=ContinuousStatsTable[[#This Row],[GroupByKey]])*ContinuousStatsTable[Average]))</f>
        <v>0</v>
      </c>
      <c r="U15" s="3">
        <f>IF((ContinuousStatsTable[[#This Row],[RepsRequested]]&gt;1),ContinuousStatsTable[[#This Row],[HalfWidth]],ContinuousStatsTable[[#This Row],[BatchMeansHalfWidth]])</f>
        <v>2E+20</v>
      </c>
    </row>
    <row r="16" spans="1:21" x14ac:dyDescent="0.25">
      <c r="A16" t="s">
        <v>67</v>
      </c>
      <c r="B16" t="s">
        <v>70</v>
      </c>
      <c r="C16">
        <v>1</v>
      </c>
      <c r="D16" t="s">
        <v>101</v>
      </c>
      <c r="E16" t="s">
        <v>89</v>
      </c>
      <c r="F16" t="s">
        <v>77</v>
      </c>
      <c r="G16">
        <v>0</v>
      </c>
      <c r="H16">
        <v>2E+20</v>
      </c>
      <c r="I16">
        <v>0</v>
      </c>
      <c r="J16">
        <v>0</v>
      </c>
      <c r="K16">
        <v>0</v>
      </c>
      <c r="L16">
        <v>0</v>
      </c>
      <c r="M16" s="3" t="str">
        <f>ContinuousStatsTable[[#This Row],[ProjectName]]&amp;ContinuousStatsTable[[#This Row],[Name]]&amp;ContinuousStatsTable[[#This Row],[Type]]&amp;ContinuousStatsTable[[#This Row],[Source]]</f>
        <v>Unnamed ProjectImran KhanWIPEntity</v>
      </c>
      <c r="N16" s="3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3">
        <f t="array" ref="O16">IFERROR(AVERAGE(IF((ContinuousStatsTable[GroupByKey]=ContinuousStatsTable[[#This Row],[GroupByKey]]),(ContinuousStatsTable[GroupByKey]=ContinuousStatsTable[[#This Row],[GroupByKey]])*ContinuousStatsTable[Average])),0)</f>
        <v>0</v>
      </c>
      <c r="P16" s="3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3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3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3">
        <f t="array" ref="T16">MAX(IF((ContinuousStatsTable[GroupByKey]=ContinuousStatsTable[[#This Row],[GroupByKey]]),(ContinuousStatsTable[GroupByKey]=ContinuousStatsTable[[#This Row],[GroupByKey]])*ContinuousStatsTable[Average]))</f>
        <v>0</v>
      </c>
      <c r="U16" s="3">
        <f>IF((ContinuousStatsTable[[#This Row],[RepsRequested]]&gt;1),ContinuousStatsTable[[#This Row],[HalfWidth]],ContinuousStatsTable[[#This Row],[BatchMeansHalfWidth]])</f>
        <v>2E+20</v>
      </c>
    </row>
    <row r="17" spans="1:21" x14ac:dyDescent="0.25">
      <c r="A17" t="s">
        <v>67</v>
      </c>
      <c r="B17" t="s">
        <v>70</v>
      </c>
      <c r="C17">
        <v>1</v>
      </c>
      <c r="D17" t="s">
        <v>102</v>
      </c>
      <c r="E17" t="s">
        <v>89</v>
      </c>
      <c r="F17" t="s">
        <v>77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s="3" t="str">
        <f>ContinuousStatsTable[[#This Row],[ProjectName]]&amp;ContinuousStatsTable[[#This Row],[Name]]&amp;ContinuousStatsTable[[#This Row],[Type]]&amp;ContinuousStatsTable[[#This Row],[Source]]</f>
        <v>Unnamed ProjectKaifi KhalilWIPEntity</v>
      </c>
      <c r="N17" s="3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3">
        <f t="array" ref="O17">IFERROR(AVERAGE(IF((ContinuousStatsTable[GroupByKey]=ContinuousStatsTable[[#This Row],[GroupByKey]]),(ContinuousStatsTable[GroupByKey]=ContinuousStatsTable[[#This Row],[GroupByKey]])*ContinuousStatsTable[Average])),0)</f>
        <v>0</v>
      </c>
      <c r="P17" s="3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3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3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s="3">
        <f t="array" ref="T17">MAX(IF((ContinuousStatsTable[GroupByKey]=ContinuousStatsTable[[#This Row],[GroupByKey]]),(ContinuousStatsTable[GroupByKey]=ContinuousStatsTable[[#This Row],[GroupByKey]])*ContinuousStatsTable[Average]))</f>
        <v>0</v>
      </c>
      <c r="U17" s="3">
        <f>IF((ContinuousStatsTable[[#This Row],[RepsRequested]]&gt;1),ContinuousStatsTable[[#This Row],[HalfWidth]],ContinuousStatsTable[[#This Row],[BatchMeansHalfWidth]])</f>
        <v>2E+20</v>
      </c>
    </row>
    <row r="18" spans="1:21" x14ac:dyDescent="0.25">
      <c r="A18" t="s">
        <v>67</v>
      </c>
      <c r="B18" t="s">
        <v>70</v>
      </c>
      <c r="C18">
        <v>1</v>
      </c>
      <c r="D18" t="s">
        <v>84</v>
      </c>
      <c r="E18" t="s">
        <v>87</v>
      </c>
      <c r="F18" t="s">
        <v>73</v>
      </c>
      <c r="G18">
        <v>4.6528815943175601E-2</v>
      </c>
      <c r="H18">
        <v>2E+20</v>
      </c>
      <c r="I18">
        <v>0</v>
      </c>
      <c r="J18">
        <v>2</v>
      </c>
      <c r="K18">
        <v>0</v>
      </c>
      <c r="L18">
        <v>0</v>
      </c>
      <c r="M18" s="3" t="str">
        <f>ContinuousStatsTable[[#This Row],[ProjectName]]&amp;ContinuousStatsTable[[#This Row],[Name]]&amp;ContinuousStatsTable[[#This Row],[Type]]&amp;ContinuousStatsTable[[#This Row],[Source]]</f>
        <v>Unnamed ProjectLiked Songs.QueueNumber WaitingQueue</v>
      </c>
      <c r="N18" s="3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3">
        <f t="array" ref="O18">IFERROR(AVERAGE(IF((ContinuousStatsTable[GroupByKey]=ContinuousStatsTable[[#This Row],[GroupByKey]]),(ContinuousStatsTable[GroupByKey]=ContinuousStatsTable[[#This Row],[GroupByKey]])*ContinuousStatsTable[Average])),0)</f>
        <v>4.6528815943175601E-2</v>
      </c>
      <c r="P18" s="3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3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3">
        <f t="array" ref="S18">MIN(IF((ContinuousStatsTable[GroupByKey]=ContinuousStatsTable[[#This Row],[GroupByKey]]),(ContinuousStatsTable[GroupByKey]=ContinuousStatsTable[[#This Row],[GroupByKey]])*ContinuousStatsTable[Average]))</f>
        <v>4.6528815943175601E-2</v>
      </c>
      <c r="T18" s="3">
        <f t="array" ref="T18">MAX(IF((ContinuousStatsTable[GroupByKey]=ContinuousStatsTable[[#This Row],[GroupByKey]]),(ContinuousStatsTable[GroupByKey]=ContinuousStatsTable[[#This Row],[GroupByKey]])*ContinuousStatsTable[Average]))</f>
        <v>4.6528815943175601E-2</v>
      </c>
      <c r="U18" s="3">
        <f>IF((ContinuousStatsTable[[#This Row],[RepsRequested]]&gt;1),ContinuousStatsTable[[#This Row],[HalfWidth]],ContinuousStatsTable[[#This Row],[BatchMeansHalfWidth]])</f>
        <v>2E+20</v>
      </c>
    </row>
    <row r="19" spans="1:21" x14ac:dyDescent="0.25">
      <c r="A19" t="s">
        <v>67</v>
      </c>
      <c r="B19" t="s">
        <v>70</v>
      </c>
      <c r="C19">
        <v>1</v>
      </c>
      <c r="D19" t="s">
        <v>103</v>
      </c>
      <c r="E19" t="s">
        <v>92</v>
      </c>
      <c r="F19" t="s">
        <v>93</v>
      </c>
      <c r="G19">
        <v>0.43063649084561101</v>
      </c>
      <c r="H19">
        <v>2E+20</v>
      </c>
      <c r="I19">
        <v>0</v>
      </c>
      <c r="J19">
        <v>1</v>
      </c>
      <c r="K19">
        <v>0</v>
      </c>
      <c r="L19">
        <v>0</v>
      </c>
      <c r="M19" s="3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9" s="3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3">
        <f t="array" ref="O19">IFERROR(AVERAGE(IF((ContinuousStatsTable[GroupByKey]=ContinuousStatsTable[[#This Row],[GroupByKey]]),(ContinuousStatsTable[GroupByKey]=ContinuousStatsTable[[#This Row],[GroupByKey]])*ContinuousStatsTable[Average])),0)</f>
        <v>0.43063649084561101</v>
      </c>
      <c r="P19" s="3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3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3">
        <f t="array" ref="S19">MIN(IF((ContinuousStatsTable[GroupByKey]=ContinuousStatsTable[[#This Row],[GroupByKey]]),(ContinuousStatsTable[GroupByKey]=ContinuousStatsTable[[#This Row],[GroupByKey]])*ContinuousStatsTable[Average]))</f>
        <v>0.43063649084561101</v>
      </c>
      <c r="T19" s="3">
        <f t="array" ref="T19">MAX(IF((ContinuousStatsTable[GroupByKey]=ContinuousStatsTable[[#This Row],[GroupByKey]]),(ContinuousStatsTable[GroupByKey]=ContinuousStatsTable[[#This Row],[GroupByKey]])*ContinuousStatsTable[Average]))</f>
        <v>0.43063649084561101</v>
      </c>
      <c r="U19" s="3">
        <f>IF((ContinuousStatsTable[[#This Row],[RepsRequested]]&gt;1),ContinuousStatsTable[[#This Row],[HalfWidth]],ContinuousStatsTable[[#This Row],[BatchMeansHalfWidth]])</f>
        <v>2E+20</v>
      </c>
    </row>
    <row r="20" spans="1:21" x14ac:dyDescent="0.25">
      <c r="A20" t="s">
        <v>67</v>
      </c>
      <c r="B20" t="s">
        <v>70</v>
      </c>
      <c r="C20">
        <v>1</v>
      </c>
      <c r="D20" t="s">
        <v>103</v>
      </c>
      <c r="E20" t="s">
        <v>94</v>
      </c>
      <c r="F20" t="s">
        <v>93</v>
      </c>
      <c r="G20">
        <v>0.43063649084561101</v>
      </c>
      <c r="H20">
        <v>2E+20</v>
      </c>
      <c r="I20">
        <v>0</v>
      </c>
      <c r="J20">
        <v>1</v>
      </c>
      <c r="K20">
        <v>0</v>
      </c>
      <c r="L20">
        <v>0</v>
      </c>
      <c r="M20" s="3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0" s="3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3">
        <f t="array" ref="O20">IFERROR(AVERAGE(IF((ContinuousStatsTable[GroupByKey]=ContinuousStatsTable[[#This Row],[GroupByKey]]),(ContinuousStatsTable[GroupByKey]=ContinuousStatsTable[[#This Row],[GroupByKey]])*ContinuousStatsTable[Average])),0)</f>
        <v>0.43063649084561101</v>
      </c>
      <c r="P20" s="3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3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3">
        <f t="array" ref="S20">MIN(IF((ContinuousStatsTable[GroupByKey]=ContinuousStatsTable[[#This Row],[GroupByKey]]),(ContinuousStatsTable[GroupByKey]=ContinuousStatsTable[[#This Row],[GroupByKey]])*ContinuousStatsTable[Average]))</f>
        <v>0.43063649084561101</v>
      </c>
      <c r="T20" s="3">
        <f t="array" ref="T20">MAX(IF((ContinuousStatsTable[GroupByKey]=ContinuousStatsTable[[#This Row],[GroupByKey]]),(ContinuousStatsTable[GroupByKey]=ContinuousStatsTable[[#This Row],[GroupByKey]])*ContinuousStatsTable[Average]))</f>
        <v>0.43063649084561101</v>
      </c>
      <c r="U20" s="3">
        <f>IF((ContinuousStatsTable[[#This Row],[RepsRequested]]&gt;1),ContinuousStatsTable[[#This Row],[HalfWidth]],ContinuousStatsTable[[#This Row],[BatchMeansHalfWidth]])</f>
        <v>2E+20</v>
      </c>
    </row>
    <row r="21" spans="1:21" x14ac:dyDescent="0.25">
      <c r="A21" t="s">
        <v>67</v>
      </c>
      <c r="B21" t="s">
        <v>70</v>
      </c>
      <c r="C21">
        <v>1</v>
      </c>
      <c r="D21" t="s">
        <v>103</v>
      </c>
      <c r="E21" t="s">
        <v>95</v>
      </c>
      <c r="F21" t="s">
        <v>93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3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1" s="3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3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3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3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3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3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3">
        <f>IF((ContinuousStatsTable[[#This Row],[RepsRequested]]&gt;1),ContinuousStatsTable[[#This Row],[HalfWidth]],ContinuousStatsTable[[#This Row],[BatchMeansHalfWidth]])</f>
        <v>2E+20</v>
      </c>
    </row>
    <row r="22" spans="1:21" x14ac:dyDescent="0.25">
      <c r="A22" t="s">
        <v>67</v>
      </c>
      <c r="B22" t="s">
        <v>70</v>
      </c>
      <c r="C22">
        <v>1</v>
      </c>
      <c r="D22" t="s">
        <v>85</v>
      </c>
      <c r="E22" t="s">
        <v>87</v>
      </c>
      <c r="F22" t="s">
        <v>73</v>
      </c>
      <c r="G22">
        <v>3.1960126501845897E-2</v>
      </c>
      <c r="H22">
        <v>2E+20</v>
      </c>
      <c r="I22">
        <v>0</v>
      </c>
      <c r="J22">
        <v>1</v>
      </c>
      <c r="K22">
        <v>0</v>
      </c>
      <c r="L22">
        <v>0</v>
      </c>
      <c r="M22" s="3" t="str">
        <f>ContinuousStatsTable[[#This Row],[ProjectName]]&amp;ContinuousStatsTable[[#This Row],[Name]]&amp;ContinuousStatsTable[[#This Row],[Type]]&amp;ContinuousStatsTable[[#This Row],[Source]]</f>
        <v>Unnamed ProjectSTREAM.QueueNumber WaitingQueue</v>
      </c>
      <c r="N22" s="3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3">
        <f t="array" ref="O22">IFERROR(AVERAGE(IF((ContinuousStatsTable[GroupByKey]=ContinuousStatsTable[[#This Row],[GroupByKey]]),(ContinuousStatsTable[GroupByKey]=ContinuousStatsTable[[#This Row],[GroupByKey]])*ContinuousStatsTable[Average])),0)</f>
        <v>3.1960126501845897E-2</v>
      </c>
      <c r="P22" s="3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3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3">
        <f t="array" ref="S22">MIN(IF((ContinuousStatsTable[GroupByKey]=ContinuousStatsTable[[#This Row],[GroupByKey]]),(ContinuousStatsTable[GroupByKey]=ContinuousStatsTable[[#This Row],[GroupByKey]])*ContinuousStatsTable[Average]))</f>
        <v>3.1960126501845897E-2</v>
      </c>
      <c r="T22" s="3">
        <f t="array" ref="T22">MAX(IF((ContinuousStatsTable[GroupByKey]=ContinuousStatsTable[[#This Row],[GroupByKey]]),(ContinuousStatsTable[GroupByKey]=ContinuousStatsTable[[#This Row],[GroupByKey]])*ContinuousStatsTable[Average]))</f>
        <v>3.1960126501845897E-2</v>
      </c>
      <c r="U22" s="3">
        <f>IF((ContinuousStatsTable[[#This Row],[RepsRequested]]&gt;1),ContinuousStatsTable[[#This Row],[HalfWidth]],ContinuousStatsTable[[#This Row],[BatchMeansHalfWidth]])</f>
        <v>2E+20</v>
      </c>
    </row>
    <row r="23" spans="1:21" x14ac:dyDescent="0.25">
      <c r="A23" t="s">
        <v>67</v>
      </c>
      <c r="B23" t="s">
        <v>70</v>
      </c>
      <c r="C23">
        <v>1</v>
      </c>
      <c r="D23" t="s">
        <v>86</v>
      </c>
      <c r="E23" t="s">
        <v>87</v>
      </c>
      <c r="F23" t="s">
        <v>73</v>
      </c>
      <c r="G23">
        <v>1.5587996933712499E-4</v>
      </c>
      <c r="H23">
        <v>2E+20</v>
      </c>
      <c r="I23">
        <v>0</v>
      </c>
      <c r="J23">
        <v>1</v>
      </c>
      <c r="K23">
        <v>0</v>
      </c>
      <c r="L23">
        <v>0</v>
      </c>
      <c r="M23" s="3" t="str">
        <f>ContinuousStatsTable[[#This Row],[ProjectName]]&amp;ContinuousStatsTable[[#This Row],[Name]]&amp;ContinuousStatsTable[[#This Row],[Type]]&amp;ContinuousStatsTable[[#This Row],[Source]]</f>
        <v>Unnamed ProjectStreaming Server.QueueNumber WaitingQueue</v>
      </c>
      <c r="N23" s="3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 s="3">
        <f t="array" ref="O23">IFERROR(AVERAGE(IF((ContinuousStatsTable[GroupByKey]=ContinuousStatsTable[[#This Row],[GroupByKey]]),(ContinuousStatsTable[GroupByKey]=ContinuousStatsTable[[#This Row],[GroupByKey]])*ContinuousStatsTable[Average])),0)</f>
        <v>1.5587996933712499E-4</v>
      </c>
      <c r="P23" s="3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3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 s="3">
        <f t="array" ref="S23">MIN(IF((ContinuousStatsTable[GroupByKey]=ContinuousStatsTable[[#This Row],[GroupByKey]]),(ContinuousStatsTable[GroupByKey]=ContinuousStatsTable[[#This Row],[GroupByKey]])*ContinuousStatsTable[Average]))</f>
        <v>1.5587996933712499E-4</v>
      </c>
      <c r="T23" s="3">
        <f t="array" ref="T23">MAX(IF((ContinuousStatsTable[GroupByKey]=ContinuousStatsTable[[#This Row],[GroupByKey]]),(ContinuousStatsTable[GroupByKey]=ContinuousStatsTable[[#This Row],[GroupByKey]])*ContinuousStatsTable[Average]))</f>
        <v>1.5587996933712499E-4</v>
      </c>
      <c r="U23" s="3">
        <f>IF((ContinuousStatsTable[[#This Row],[RepsRequested]]&gt;1),ContinuousStatsTable[[#This Row],[HalfWidth]],ContinuousStatsTable[[#This Row],[BatchMeansHalfWidth]])</f>
        <v>2E+20</v>
      </c>
    </row>
    <row r="24" spans="1:21" x14ac:dyDescent="0.25">
      <c r="A24" t="s">
        <v>67</v>
      </c>
      <c r="B24" t="s">
        <v>70</v>
      </c>
      <c r="C24">
        <v>1</v>
      </c>
      <c r="D24" t="s">
        <v>104</v>
      </c>
      <c r="E24" t="s">
        <v>89</v>
      </c>
      <c r="F24" t="s">
        <v>77</v>
      </c>
      <c r="G24">
        <v>0</v>
      </c>
      <c r="H24">
        <v>2E+20</v>
      </c>
      <c r="I24">
        <v>0</v>
      </c>
      <c r="J24">
        <v>0</v>
      </c>
      <c r="K24">
        <v>0</v>
      </c>
      <c r="L24">
        <v>0</v>
      </c>
      <c r="M24" s="3" t="str">
        <f>ContinuousStatsTable[[#This Row],[ProjectName]]&amp;ContinuousStatsTable[[#This Row],[Name]]&amp;ContinuousStatsTable[[#This Row],[Type]]&amp;ContinuousStatsTable[[#This Row],[Source]]</f>
        <v>Unnamed ProjectTalha AnjumWIPEntity</v>
      </c>
      <c r="N24" s="3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 s="3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3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3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 s="3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3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3">
        <f>IF((ContinuousStatsTable[[#This Row],[RepsRequested]]&gt;1),ContinuousStatsTable[[#This Row],[HalfWidth]],ContinuousStatsTable[[#This Row],[BatchMeansHalfWidth]])</f>
        <v>2E+20</v>
      </c>
    </row>
    <row r="25" spans="1:21" x14ac:dyDescent="0.25">
      <c r="A25" t="s">
        <v>67</v>
      </c>
      <c r="B25" t="s">
        <v>70</v>
      </c>
      <c r="C25">
        <v>1</v>
      </c>
      <c r="D25" t="s">
        <v>105</v>
      </c>
      <c r="E25" t="s">
        <v>89</v>
      </c>
      <c r="F25" t="s">
        <v>77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s="3" t="str">
        <f>ContinuousStatsTable[[#This Row],[ProjectName]]&amp;ContinuousStatsTable[[#This Row],[Name]]&amp;ContinuousStatsTable[[#This Row],[Type]]&amp;ContinuousStatsTable[[#This Row],[Source]]</f>
        <v>Unnamed ProjectTalha YunusWIPEntity</v>
      </c>
      <c r="N25" s="3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 s="3">
        <f t="array" ref="O25">IFERROR(AVERAGE(IF((ContinuousStatsTable[GroupByKey]=ContinuousStatsTable[[#This Row],[GroupByKey]]),(ContinuousStatsTable[GroupByKey]=ContinuousStatsTable[[#This Row],[GroupByKey]])*ContinuousStatsTable[Average])),0)</f>
        <v>0</v>
      </c>
      <c r="P25" s="3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3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 s="3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3">
        <f t="array" ref="T25">MAX(IF((ContinuousStatsTable[GroupByKey]=ContinuousStatsTable[[#This Row],[GroupByKey]]),(ContinuousStatsTable[GroupByKey]=ContinuousStatsTable[[#This Row],[GroupByKey]])*ContinuousStatsTable[Average]))</f>
        <v>0</v>
      </c>
      <c r="U25" s="3">
        <f>IF((ContinuousStatsTable[[#This Row],[RepsRequested]]&gt;1),ContinuousStatsTable[[#This Row],[HalfWidth]],ContinuousStatsTable[[#This Row],[BatchMeansHalfWidth]])</f>
        <v>2E+20</v>
      </c>
    </row>
    <row r="26" spans="1:21" x14ac:dyDescent="0.25">
      <c r="A26" t="s">
        <v>67</v>
      </c>
      <c r="B26" t="s">
        <v>70</v>
      </c>
      <c r="C26">
        <v>1</v>
      </c>
      <c r="D26" t="s">
        <v>106</v>
      </c>
      <c r="E26" t="s">
        <v>92</v>
      </c>
      <c r="F26" t="s">
        <v>93</v>
      </c>
      <c r="G26">
        <v>0.12403376359889</v>
      </c>
      <c r="H26">
        <v>2E+20</v>
      </c>
      <c r="I26">
        <v>0</v>
      </c>
      <c r="J26">
        <v>1</v>
      </c>
      <c r="K26">
        <v>0</v>
      </c>
      <c r="L26">
        <v>0</v>
      </c>
      <c r="M26" s="3" t="str">
        <f>ContinuousStatsTable[[#This Row],[ProjectName]]&amp;ContinuousStatsTable[[#This Row],[Name]]&amp;ContinuousStatsTable[[#This Row],[Type]]&amp;ContinuousStatsTable[[#This Row],[Source]]</f>
        <v>Unnamed ProjectcounterInstantaneous UtilizationResource</v>
      </c>
      <c r="N26" s="3">
        <f t="array" ref="N26">MAX(IF((ProjectInfoTable[ProjectName]=ContinuousStatsTable[[#This Row],[ProjectName]]),(ProjectInfoTable[ProjectName]=ContinuousStatsTable[[#This Row],[ProjectName]])*ProjectInfoTable[NumberOfReplications]))</f>
        <v>1</v>
      </c>
      <c r="O26" s="3">
        <f t="array" ref="O26">IFERROR(AVERAGE(IF((ContinuousStatsTable[GroupByKey]=ContinuousStatsTable[[#This Row],[GroupByKey]]),(ContinuousStatsTable[GroupByKey]=ContinuousStatsTable[[#This Row],[GroupByKey]])*ContinuousStatsTable[Average])),0)</f>
        <v>0.12403376359889</v>
      </c>
      <c r="P26" s="3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3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6" s="3">
        <f t="array" ref="S26">MIN(IF((ContinuousStatsTable[GroupByKey]=ContinuousStatsTable[[#This Row],[GroupByKey]]),(ContinuousStatsTable[GroupByKey]=ContinuousStatsTable[[#This Row],[GroupByKey]])*ContinuousStatsTable[Average]))</f>
        <v>0.12403376359889</v>
      </c>
      <c r="T26" s="3">
        <f t="array" ref="T26">MAX(IF((ContinuousStatsTable[GroupByKey]=ContinuousStatsTable[[#This Row],[GroupByKey]]),(ContinuousStatsTable[GroupByKey]=ContinuousStatsTable[[#This Row],[GroupByKey]])*ContinuousStatsTable[Average]))</f>
        <v>0.12403376359889</v>
      </c>
      <c r="U26" s="3">
        <f>IF((ContinuousStatsTable[[#This Row],[RepsRequested]]&gt;1),ContinuousStatsTable[[#This Row],[HalfWidth]],ContinuousStatsTable[[#This Row],[BatchMeansHalfWidth]])</f>
        <v>2E+20</v>
      </c>
    </row>
    <row r="27" spans="1:21" x14ac:dyDescent="0.25">
      <c r="A27" t="s">
        <v>67</v>
      </c>
      <c r="B27" t="s">
        <v>70</v>
      </c>
      <c r="C27">
        <v>1</v>
      </c>
      <c r="D27" t="s">
        <v>106</v>
      </c>
      <c r="E27" t="s">
        <v>94</v>
      </c>
      <c r="F27" t="s">
        <v>93</v>
      </c>
      <c r="G27">
        <v>0.12403376359889</v>
      </c>
      <c r="H27">
        <v>2E+20</v>
      </c>
      <c r="I27">
        <v>0</v>
      </c>
      <c r="J27">
        <v>1</v>
      </c>
      <c r="K27">
        <v>0</v>
      </c>
      <c r="L27">
        <v>0</v>
      </c>
      <c r="M27" s="3" t="str">
        <f>ContinuousStatsTable[[#This Row],[ProjectName]]&amp;ContinuousStatsTable[[#This Row],[Name]]&amp;ContinuousStatsTable[[#This Row],[Type]]&amp;ContinuousStatsTable[[#This Row],[Source]]</f>
        <v>Unnamed ProjectcounterNumber BusyResource</v>
      </c>
      <c r="N27" s="3">
        <f t="array" ref="N27">MAX(IF((ProjectInfoTable[ProjectName]=ContinuousStatsTable[[#This Row],[ProjectName]]),(ProjectInfoTable[ProjectName]=ContinuousStatsTable[[#This Row],[ProjectName]])*ProjectInfoTable[NumberOfReplications]))</f>
        <v>1</v>
      </c>
      <c r="O27" s="3">
        <f t="array" ref="O27">IFERROR(AVERAGE(IF((ContinuousStatsTable[GroupByKey]=ContinuousStatsTable[[#This Row],[GroupByKey]]),(ContinuousStatsTable[GroupByKey]=ContinuousStatsTable[[#This Row],[GroupByKey]])*ContinuousStatsTable[Average])),0)</f>
        <v>0.12403376359889</v>
      </c>
      <c r="P27" s="3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3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7" s="3">
        <f t="array" ref="S27">MIN(IF((ContinuousStatsTable[GroupByKey]=ContinuousStatsTable[[#This Row],[GroupByKey]]),(ContinuousStatsTable[GroupByKey]=ContinuousStatsTable[[#This Row],[GroupByKey]])*ContinuousStatsTable[Average]))</f>
        <v>0.12403376359889</v>
      </c>
      <c r="T27" s="3">
        <f t="array" ref="T27">MAX(IF((ContinuousStatsTable[GroupByKey]=ContinuousStatsTable[[#This Row],[GroupByKey]]),(ContinuousStatsTable[GroupByKey]=ContinuousStatsTable[[#This Row],[GroupByKey]])*ContinuousStatsTable[Average]))</f>
        <v>0.12403376359889</v>
      </c>
      <c r="U27" s="3">
        <f>IF((ContinuousStatsTable[[#This Row],[RepsRequested]]&gt;1),ContinuousStatsTable[[#This Row],[HalfWidth]],ContinuousStatsTable[[#This Row],[BatchMeansHalfWidth]])</f>
        <v>2E+20</v>
      </c>
    </row>
    <row r="28" spans="1:21" x14ac:dyDescent="0.25">
      <c r="A28" t="s">
        <v>67</v>
      </c>
      <c r="B28" t="s">
        <v>70</v>
      </c>
      <c r="C28">
        <v>1</v>
      </c>
      <c r="D28" t="s">
        <v>106</v>
      </c>
      <c r="E28" t="s">
        <v>95</v>
      </c>
      <c r="F28" t="s">
        <v>93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s="3" t="str">
        <f>ContinuousStatsTable[[#This Row],[ProjectName]]&amp;ContinuousStatsTable[[#This Row],[Name]]&amp;ContinuousStatsTable[[#This Row],[Type]]&amp;ContinuousStatsTable[[#This Row],[Source]]</f>
        <v>Unnamed ProjectcounterNumber ScheduledResource</v>
      </c>
      <c r="N28" s="3">
        <f t="array" ref="N28">MAX(IF((ProjectInfoTable[ProjectName]=ContinuousStatsTable[[#This Row],[ProjectName]]),(ProjectInfoTable[ProjectName]=ContinuousStatsTable[[#This Row],[ProjectName]])*ProjectInfoTable[NumberOfReplications]))</f>
        <v>1</v>
      </c>
      <c r="O28" s="3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s="3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3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8" s="3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s="3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8">
    <cfRule type="expression" dxfId="12" priority="9">
      <formula>H2=200000000000000000000</formula>
    </cfRule>
  </conditionalFormatting>
  <conditionalFormatting sqref="H2:H28">
    <cfRule type="expression" dxfId="11" priority="7">
      <formula>H2=300000000000000000000</formula>
    </cfRule>
  </conditionalFormatting>
  <conditionalFormatting sqref="M2:U28">
    <cfRule type="expression" dxfId="10" priority="5">
      <formula>MOD(ROW(),2)=0</formula>
    </cfRule>
  </conditionalFormatting>
  <conditionalFormatting sqref="U2:U28">
    <cfRule type="expression" dxfId="9" priority="3">
      <formula>U2=200000000000000000000</formula>
    </cfRule>
    <cfRule type="expression" dxfId="8" priority="4">
      <formula>U2=300000000000000000000</formula>
    </cfRule>
  </conditionalFormatting>
  <conditionalFormatting sqref="R2:R28 U2:U28">
    <cfRule type="expression" dxfId="7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6" priority="2">
      <formula>MOD(ROW(),2)=0</formula>
    </cfRule>
  </conditionalFormatting>
  <conditionalFormatting sqref="M2">
    <cfRule type="expression" dxfId="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2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0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4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107</v>
      </c>
      <c r="E2" t="s">
        <v>108</v>
      </c>
      <c r="F2" t="s">
        <v>77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ProjectAdele.NumberInNumber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0</v>
      </c>
      <c r="L2" s="3">
        <f t="array" ref="L2">IFERROR(_xlfn.STDEV.S(IF((OutputTable[GroupByKey]=OutputTable[[#This Row],[GroupByKey]]),(OutputTable[GroupByKey]=OutputTable[[#This Row],[GroupByKey]])*OutputTable[RecordedValue])),0)</f>
        <v>0</v>
      </c>
      <c r="M2" s="3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>
        <f t="array" ref="O2">MIN(IF((OutputTable[GroupByKey]=OutputTable[[#This Row],[GroupByKey]]),(OutputTable[GroupByKey]=OutputTable[[#This Row],[GroupByKey]])*OutputTable[RecordedValue]))</f>
        <v>0</v>
      </c>
      <c r="P2" s="3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70</v>
      </c>
      <c r="C3">
        <v>1</v>
      </c>
      <c r="D3" t="s">
        <v>109</v>
      </c>
      <c r="E3" t="s">
        <v>110</v>
      </c>
      <c r="F3" t="s">
        <v>77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ProjectAdele.NumberOutNumber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</v>
      </c>
      <c r="L3" s="3">
        <f t="array" ref="L3">IFERROR(_xlfn.STDEV.S(IF((OutputTable[GroupByKey]=OutputTable[[#This Row],[GroupByKey]]),(OutputTable[GroupByKey]=OutputTable[[#This Row],[GroupByKey]])*OutputTable[RecordedValue])),0)</f>
        <v>0</v>
      </c>
      <c r="M3" s="3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>
        <f t="array" ref="O3">MIN(IF((OutputTable[GroupByKey]=OutputTable[[#This Row],[GroupByKey]]),(OutputTable[GroupByKey]=OutputTable[[#This Row],[GroupByKey]])*OutputTable[RecordedValue]))</f>
        <v>0</v>
      </c>
      <c r="P3" s="3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70</v>
      </c>
      <c r="C4">
        <v>1</v>
      </c>
      <c r="D4" t="s">
        <v>111</v>
      </c>
      <c r="E4" t="s">
        <v>108</v>
      </c>
      <c r="F4" t="s">
        <v>77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ProjectAli Zafar.NumberInNumber InEntity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 s="3">
        <f t="array" ref="L4">IFERROR(_xlfn.STDEV.S(IF((OutputTable[GroupByKey]=OutputTable[[#This Row],[GroupByKey]]),(OutputTable[GroupByKey]=OutputTable[[#This Row],[GroupByKey]])*OutputTable[RecordedValue])),0)</f>
        <v>0</v>
      </c>
      <c r="M4" s="3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>
        <f t="array" ref="O4">MIN(IF((OutputTable[GroupByKey]=OutputTable[[#This Row],[GroupByKey]]),(OutputTable[GroupByKey]=OutputTable[[#This Row],[GroupByKey]])*OutputTable[RecordedValue]))</f>
        <v>0</v>
      </c>
      <c r="P4" s="3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70</v>
      </c>
      <c r="C5">
        <v>1</v>
      </c>
      <c r="D5" t="s">
        <v>112</v>
      </c>
      <c r="E5" t="s">
        <v>110</v>
      </c>
      <c r="F5" t="s">
        <v>77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ProjectAli Zafar.NumberOutNumber OutEntity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 s="3">
        <f t="array" ref="L5">IFERROR(_xlfn.STDEV.S(IF((OutputTable[GroupByKey]=OutputTable[[#This Row],[GroupByKey]]),(OutputTable[GroupByKey]=OutputTable[[#This Row],[GroupByKey]])*OutputTable[RecordedValue])),0)</f>
        <v>0</v>
      </c>
      <c r="M5" s="3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>
        <f t="array" ref="O5">MIN(IF((OutputTable[GroupByKey]=OutputTable[[#This Row],[GroupByKey]]),(OutputTable[GroupByKey]=OutputTable[[#This Row],[GroupByKey]])*OutputTable[RecordedValue]))</f>
        <v>0</v>
      </c>
      <c r="P5" s="3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70</v>
      </c>
      <c r="C6">
        <v>1</v>
      </c>
      <c r="D6" t="s">
        <v>113</v>
      </c>
      <c r="E6" t="s">
        <v>114</v>
      </c>
      <c r="F6" t="s">
        <v>93</v>
      </c>
      <c r="G6">
        <v>140</v>
      </c>
      <c r="H6">
        <v>0</v>
      </c>
      <c r="I6" t="str">
        <f>OutputTable[[#This Row],[ProjectName]]&amp;OutputTable[[#This Row],[Name]]&amp;OutputTable[[#This Row],[Type]]&amp;OutputTable[[#This Row],[Source]]</f>
        <v>Unnamed ProjectApp Server.NumberSeizedTotal Number SeizedResource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140</v>
      </c>
      <c r="L6" s="3">
        <f t="array" ref="L6">IFERROR(_xlfn.STDEV.S(IF((OutputTable[GroupByKey]=OutputTable[[#This Row],[GroupByKey]]),(OutputTable[GroupByKey]=OutputTable[[#This Row],[GroupByKey]])*OutputTable[RecordedValue])),0)</f>
        <v>0</v>
      </c>
      <c r="M6" s="3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>
        <f t="array" ref="O6">MIN(IF((OutputTable[GroupByKey]=OutputTable[[#This Row],[GroupByKey]]),(OutputTable[GroupByKey]=OutputTable[[#This Row],[GroupByKey]])*OutputTable[RecordedValue]))</f>
        <v>140</v>
      </c>
      <c r="P6" s="3">
        <f t="array" ref="P6">MAX(IF((OutputTable[GroupByKey]=OutputTable[[#This Row],[GroupByKey]]),(OutputTable[GroupByKey]=OutputTable[[#This Row],[GroupByKey]])*OutputTable[RecordedValue]))</f>
        <v>140</v>
      </c>
    </row>
    <row r="7" spans="1:16" x14ac:dyDescent="0.25">
      <c r="A7" t="s">
        <v>67</v>
      </c>
      <c r="B7" t="s">
        <v>70</v>
      </c>
      <c r="C7">
        <v>1</v>
      </c>
      <c r="D7" t="s">
        <v>115</v>
      </c>
      <c r="E7" t="s">
        <v>116</v>
      </c>
      <c r="F7" t="s">
        <v>93</v>
      </c>
      <c r="G7">
        <v>1.7206952758516501E-2</v>
      </c>
      <c r="H7">
        <v>0</v>
      </c>
      <c r="I7" t="str">
        <f>OutputTable[[#This Row],[ProjectName]]&amp;OutputTable[[#This Row],[Name]]&amp;OutputTable[[#This Row],[Type]]&amp;OutputTable[[#This Row],[Source]]</f>
        <v>Unnamed ProjectApp Server.ScheduledUtilizationScheduled UtilizationResource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1.7206952758516501E-2</v>
      </c>
      <c r="L7" s="3">
        <f t="array" ref="L7">IFERROR(_xlfn.STDEV.S(IF((OutputTable[GroupByKey]=OutputTable[[#This Row],[GroupByKey]]),(OutputTable[GroupByKey]=OutputTable[[#This Row],[GroupByKey]])*OutputTable[RecordedValue])),0)</f>
        <v>0</v>
      </c>
      <c r="M7" s="3">
        <f t="array" ref="M7">MAX(IF((ProjectInfoTable[ProjectName]=OutputTable[[#This Row],[ProjectName]]),(ProjectInfoTable[ProjectName]=OutputTable[[#This Row],[ProjectName]])*ProjectInfoTable[ConfidenceInterval]))</f>
        <v>0.95</v>
      </c>
      <c r="N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s="3">
        <f t="array" ref="O7">MIN(IF((OutputTable[GroupByKey]=OutputTable[[#This Row],[GroupByKey]]),(OutputTable[GroupByKey]=OutputTable[[#This Row],[GroupByKey]])*OutputTable[RecordedValue]))</f>
        <v>1.7206952758516501E-2</v>
      </c>
      <c r="P7" s="3">
        <f t="array" ref="P7">MAX(IF((OutputTable[GroupByKey]=OutputTable[[#This Row],[GroupByKey]]),(OutputTable[GroupByKey]=OutputTable[[#This Row],[GroupByKey]])*OutputTable[RecordedValue]))</f>
        <v>1.7206952758516501E-2</v>
      </c>
    </row>
    <row r="8" spans="1:16" x14ac:dyDescent="0.25">
      <c r="A8" t="s">
        <v>67</v>
      </c>
      <c r="B8" t="s">
        <v>70</v>
      </c>
      <c r="C8">
        <v>1</v>
      </c>
      <c r="D8" t="s">
        <v>117</v>
      </c>
      <c r="E8" t="s">
        <v>108</v>
      </c>
      <c r="F8" t="s">
        <v>77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ProjectAsim Azhar.NumberInNumber InEntity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0</v>
      </c>
      <c r="L8" s="3">
        <f t="array" ref="L8">IFERROR(_xlfn.STDEV.S(IF((OutputTable[GroupByKey]=OutputTable[[#This Row],[GroupByKey]]),(OutputTable[GroupByKey]=OutputTable[[#This Row],[GroupByKey]])*OutputTable[RecordedValue])),0)</f>
        <v>0</v>
      </c>
      <c r="M8" s="3">
        <f t="array" ref="M8">MAX(IF((ProjectInfoTable[ProjectName]=OutputTable[[#This Row],[ProjectName]]),(ProjectInfoTable[ProjectName]=OutputTable[[#This Row],[ProjectName]])*ProjectInfoTable[ConfidenceInterval]))</f>
        <v>0.95</v>
      </c>
      <c r="N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s="3">
        <f t="array" ref="O8">MIN(IF((OutputTable[GroupByKey]=OutputTable[[#This Row],[GroupByKey]]),(OutputTable[GroupByKey]=OutputTable[[#This Row],[GroupByKey]])*OutputTable[RecordedValue]))</f>
        <v>0</v>
      </c>
      <c r="P8" s="3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67</v>
      </c>
      <c r="B9" t="s">
        <v>70</v>
      </c>
      <c r="C9">
        <v>1</v>
      </c>
      <c r="D9" t="s">
        <v>118</v>
      </c>
      <c r="E9" t="s">
        <v>110</v>
      </c>
      <c r="F9" t="s">
        <v>77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Unnamed ProjectAsim Azhar.NumberOutNumber OutEntity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0</v>
      </c>
      <c r="L9" s="3">
        <f t="array" ref="L9">IFERROR(_xlfn.STDEV.S(IF((OutputTable[GroupByKey]=OutputTable[[#This Row],[GroupByKey]]),(OutputTable[GroupByKey]=OutputTable[[#This Row],[GroupByKey]])*OutputTable[RecordedValue])),0)</f>
        <v>0</v>
      </c>
      <c r="M9" s="3">
        <f t="array" ref="M9">MAX(IF((ProjectInfoTable[ProjectName]=OutputTable[[#This Row],[ProjectName]]),(ProjectInfoTable[ProjectName]=OutputTable[[#This Row],[ProjectName]])*ProjectInfoTable[ConfidenceInterval]))</f>
        <v>0.95</v>
      </c>
      <c r="N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s="3">
        <f t="array" ref="O9">MIN(IF((OutputTable[GroupByKey]=OutputTable[[#This Row],[GroupByKey]]),(OutputTable[GroupByKey]=OutputTable[[#This Row],[GroupByKey]])*OutputTable[RecordedValue]))</f>
        <v>0</v>
      </c>
      <c r="P9" s="3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A10" t="s">
        <v>67</v>
      </c>
      <c r="B10" t="s">
        <v>70</v>
      </c>
      <c r="C10">
        <v>1</v>
      </c>
      <c r="D10" t="s">
        <v>119</v>
      </c>
      <c r="E10" t="s">
        <v>108</v>
      </c>
      <c r="F10" t="s">
        <v>77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ProjectAtif Aslam.NumberInNumber InEntity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0</v>
      </c>
      <c r="L10" s="3">
        <f t="array" ref="L10">IFERROR(_xlfn.STDEV.S(IF((OutputTable[GroupByKey]=OutputTable[[#This Row],[GroupByKey]]),(OutputTable[GroupByKey]=OutputTable[[#This Row],[GroupByKey]])*OutputTable[RecordedValue])),0)</f>
        <v>0</v>
      </c>
      <c r="M10" s="3">
        <f t="array" ref="M10">MAX(IF((ProjectInfoTable[ProjectName]=OutputTable[[#This Row],[ProjectName]]),(ProjectInfoTable[ProjectName]=OutputTable[[#This Row],[ProjectName]])*ProjectInfoTable[ConfidenceInterval]))</f>
        <v>0.95</v>
      </c>
      <c r="N1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s="3">
        <f t="array" ref="O10">MIN(IF((OutputTable[GroupByKey]=OutputTable[[#This Row],[GroupByKey]]),(OutputTable[GroupByKey]=OutputTable[[#This Row],[GroupByKey]])*OutputTable[RecordedValue]))</f>
        <v>0</v>
      </c>
      <c r="P10" s="3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67</v>
      </c>
      <c r="B11" t="s">
        <v>70</v>
      </c>
      <c r="C11">
        <v>1</v>
      </c>
      <c r="D11" t="s">
        <v>120</v>
      </c>
      <c r="E11" t="s">
        <v>110</v>
      </c>
      <c r="F11" t="s">
        <v>77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ProjectAtif Aslam.NumberOutNumber OutEntity</v>
      </c>
      <c r="J11">
        <f t="array" ref="J11">MAX(IF((ProjectInfoTable[ProjectName]=OutputTable[[#This Row],[ProjectName]]),(ProjectInfoTable[ProjectName]=OutputTable[[#This Row],[ProjectName]])*ProjectInfoTable[NumberOfReplications]))</f>
        <v>1</v>
      </c>
      <c r="K11">
        <f t="array" ref="K11">IFERROR(AVERAGE(IF((OutputTable[GroupByKey]=OutputTable[[#This Row],[GroupByKey]]),(OutputTable[GroupByKey]=OutputTable[[#This Row],[GroupByKey]])*OutputTable[RecordedValue])),0)</f>
        <v>0</v>
      </c>
      <c r="L11" s="3">
        <f t="array" ref="L11">IFERROR(_xlfn.STDEV.S(IF((OutputTable[GroupByKey]=OutputTable[[#This Row],[GroupByKey]]),(OutputTable[GroupByKey]=OutputTable[[#This Row],[GroupByKey]])*OutputTable[RecordedValue])),0)</f>
        <v>0</v>
      </c>
      <c r="M11" s="3">
        <f t="array" ref="M11">MAX(IF((ProjectInfoTable[ProjectName]=OutputTable[[#This Row],[ProjectName]]),(ProjectInfoTable[ProjectName]=OutputTable[[#This Row],[ProjectName]])*ProjectInfoTable[ConfidenceInterval]))</f>
        <v>0.95</v>
      </c>
      <c r="N1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s="3">
        <f t="array" ref="O11">MIN(IF((OutputTable[GroupByKey]=OutputTable[[#This Row],[GroupByKey]]),(OutputTable[GroupByKey]=OutputTable[[#This Row],[GroupByKey]])*OutputTable[RecordedValue]))</f>
        <v>0</v>
      </c>
      <c r="P11" s="3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67</v>
      </c>
      <c r="B12" t="s">
        <v>70</v>
      </c>
      <c r="C12">
        <v>1</v>
      </c>
      <c r="D12" t="s">
        <v>121</v>
      </c>
      <c r="E12" t="s">
        <v>108</v>
      </c>
      <c r="F12" t="s">
        <v>77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ProjectBhomeia.NumberInNumber InEntity</v>
      </c>
      <c r="J12">
        <f t="array" ref="J12">MAX(IF((ProjectInfoTable[ProjectName]=OutputTable[[#This Row],[ProjectName]]),(ProjectInfoTable[ProjectName]=OutputTable[[#This Row],[ProjectName]])*ProjectInfoTable[NumberOfReplications]))</f>
        <v>1</v>
      </c>
      <c r="K12">
        <f t="array" ref="K12">IFERROR(AVERAGE(IF((OutputTable[GroupByKey]=OutputTable[[#This Row],[GroupByKey]]),(OutputTable[GroupByKey]=OutputTable[[#This Row],[GroupByKey]])*OutputTable[RecordedValue])),0)</f>
        <v>0</v>
      </c>
      <c r="L12" s="3">
        <f t="array" ref="L12">IFERROR(_xlfn.STDEV.S(IF((OutputTable[GroupByKey]=OutputTable[[#This Row],[GroupByKey]]),(OutputTable[GroupByKey]=OutputTable[[#This Row],[GroupByKey]])*OutputTable[RecordedValue])),0)</f>
        <v>0</v>
      </c>
      <c r="M12" s="3">
        <f t="array" ref="M12">MAX(IF((ProjectInfoTable[ProjectName]=OutputTable[[#This Row],[ProjectName]]),(ProjectInfoTable[ProjectName]=OutputTable[[#This Row],[ProjectName]])*ProjectInfoTable[ConfidenceInterval]))</f>
        <v>0.95</v>
      </c>
      <c r="N1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s="3">
        <f t="array" ref="O12">MIN(IF((OutputTable[GroupByKey]=OutputTable[[#This Row],[GroupByKey]]),(OutputTable[GroupByKey]=OutputTable[[#This Row],[GroupByKey]])*OutputTable[RecordedValue]))</f>
        <v>0</v>
      </c>
      <c r="P12" s="3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25">
      <c r="A13" t="s">
        <v>67</v>
      </c>
      <c r="B13" t="s">
        <v>70</v>
      </c>
      <c r="C13">
        <v>1</v>
      </c>
      <c r="D13" t="s">
        <v>122</v>
      </c>
      <c r="E13" t="s">
        <v>110</v>
      </c>
      <c r="F13" t="s">
        <v>77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ProjectBhomeia.NumberOutNumber OutEntity</v>
      </c>
      <c r="J13">
        <f t="array" ref="J13">MAX(IF((ProjectInfoTable[ProjectName]=OutputTable[[#This Row],[ProjectName]]),(ProjectInfoTable[ProjectName]=OutputTable[[#This Row],[ProjectName]])*ProjectInfoTable[NumberOfReplications]))</f>
        <v>1</v>
      </c>
      <c r="K13">
        <f t="array" ref="K13">IFERROR(AVERAGE(IF((OutputTable[GroupByKey]=OutputTable[[#This Row],[GroupByKey]]),(OutputTable[GroupByKey]=OutputTable[[#This Row],[GroupByKey]])*OutputTable[RecordedValue])),0)</f>
        <v>0</v>
      </c>
      <c r="L13" s="3">
        <f t="array" ref="L13">IFERROR(_xlfn.STDEV.S(IF((OutputTable[GroupByKey]=OutputTable[[#This Row],[GroupByKey]]),(OutputTable[GroupByKey]=OutputTable[[#This Row],[GroupByKey]])*OutputTable[RecordedValue])),0)</f>
        <v>0</v>
      </c>
      <c r="M13" s="3">
        <f t="array" ref="M13">MAX(IF((ProjectInfoTable[ProjectName]=OutputTable[[#This Row],[ProjectName]]),(ProjectInfoTable[ProjectName]=OutputTable[[#This Row],[ProjectName]])*ProjectInfoTable[ConfidenceInterval]))</f>
        <v>0.95</v>
      </c>
      <c r="N1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s="3">
        <f t="array" ref="O13">MIN(IF((OutputTable[GroupByKey]=OutputTable[[#This Row],[GroupByKey]]),(OutputTable[GroupByKey]=OutputTable[[#This Row],[GroupByKey]])*OutputTable[RecordedValue]))</f>
        <v>0</v>
      </c>
      <c r="P13" s="3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67</v>
      </c>
      <c r="B14" t="s">
        <v>70</v>
      </c>
      <c r="C14">
        <v>1</v>
      </c>
      <c r="D14" t="s">
        <v>123</v>
      </c>
      <c r="E14" t="s">
        <v>108</v>
      </c>
      <c r="F14" t="s">
        <v>77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ProjectConan Gray.NumberInNumber InEntity</v>
      </c>
      <c r="J14">
        <f t="array" ref="J14">MAX(IF((ProjectInfoTable[ProjectName]=OutputTable[[#This Row],[ProjectName]]),(ProjectInfoTable[ProjectName]=OutputTable[[#This Row],[ProjectName]])*ProjectInfoTable[NumberOfReplications]))</f>
        <v>1</v>
      </c>
      <c r="K14">
        <f t="array" ref="K14">IFERROR(AVERAGE(IF((OutputTable[GroupByKey]=OutputTable[[#This Row],[GroupByKey]]),(OutputTable[GroupByKey]=OutputTable[[#This Row],[GroupByKey]])*OutputTable[RecordedValue])),0)</f>
        <v>0</v>
      </c>
      <c r="L14" s="3">
        <f t="array" ref="L14">IFERROR(_xlfn.STDEV.S(IF((OutputTable[GroupByKey]=OutputTable[[#This Row],[GroupByKey]]),(OutputTable[GroupByKey]=OutputTable[[#This Row],[GroupByKey]])*OutputTable[RecordedValue])),0)</f>
        <v>0</v>
      </c>
      <c r="M14" s="3">
        <f t="array" ref="M14">MAX(IF((ProjectInfoTable[ProjectName]=OutputTable[[#This Row],[ProjectName]]),(ProjectInfoTable[ProjectName]=OutputTable[[#This Row],[ProjectName]])*ProjectInfoTable[ConfidenceInterval]))</f>
        <v>0.95</v>
      </c>
      <c r="N1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s="3">
        <f t="array" ref="O14">MIN(IF((OutputTable[GroupByKey]=OutputTable[[#This Row],[GroupByKey]]),(OutputTable[GroupByKey]=OutputTable[[#This Row],[GroupByKey]])*OutputTable[RecordedValue]))</f>
        <v>0</v>
      </c>
      <c r="P14" s="3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25">
      <c r="A15" t="s">
        <v>67</v>
      </c>
      <c r="B15" t="s">
        <v>70</v>
      </c>
      <c r="C15">
        <v>1</v>
      </c>
      <c r="D15" t="s">
        <v>124</v>
      </c>
      <c r="E15" t="s">
        <v>110</v>
      </c>
      <c r="F15" t="s">
        <v>77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Unnamed ProjectConan Gray.NumberOutNumber OutEntity</v>
      </c>
      <c r="J15">
        <f t="array" ref="J15">MAX(IF((ProjectInfoTable[ProjectName]=OutputTable[[#This Row],[ProjectName]]),(ProjectInfoTable[ProjectName]=OutputTable[[#This Row],[ProjectName]])*ProjectInfoTable[NumberOfReplications]))</f>
        <v>1</v>
      </c>
      <c r="K15">
        <f t="array" ref="K15">IFERROR(AVERAGE(IF((OutputTable[GroupByKey]=OutputTable[[#This Row],[GroupByKey]]),(OutputTable[GroupByKey]=OutputTable[[#This Row],[GroupByKey]])*OutputTable[RecordedValue])),0)</f>
        <v>0</v>
      </c>
      <c r="L15" s="3">
        <f t="array" ref="L15">IFERROR(_xlfn.STDEV.S(IF((OutputTable[GroupByKey]=OutputTable[[#This Row],[GroupByKey]]),(OutputTable[GroupByKey]=OutputTable[[#This Row],[GroupByKey]])*OutputTable[RecordedValue])),0)</f>
        <v>0</v>
      </c>
      <c r="M15" s="3">
        <f t="array" ref="M15">MAX(IF((ProjectInfoTable[ProjectName]=OutputTable[[#This Row],[ProjectName]]),(ProjectInfoTable[ProjectName]=OutputTable[[#This Row],[ProjectName]])*ProjectInfoTable[ConfidenceInterval]))</f>
        <v>0.95</v>
      </c>
      <c r="N1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s="3">
        <f t="array" ref="O15">MIN(IF((OutputTable[GroupByKey]=OutputTable[[#This Row],[GroupByKey]]),(OutputTable[GroupByKey]=OutputTable[[#This Row],[GroupByKey]])*OutputTable[RecordedValue]))</f>
        <v>0</v>
      </c>
      <c r="P15" s="3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67</v>
      </c>
      <c r="B16" t="s">
        <v>70</v>
      </c>
      <c r="C16">
        <v>1</v>
      </c>
      <c r="D16" t="s">
        <v>125</v>
      </c>
      <c r="E16" t="s">
        <v>108</v>
      </c>
      <c r="F16" t="s">
        <v>77</v>
      </c>
      <c r="G16">
        <v>140</v>
      </c>
      <c r="H16">
        <v>0</v>
      </c>
      <c r="I16" t="str">
        <f>OutputTable[[#This Row],[ProjectName]]&amp;OutputTable[[#This Row],[Name]]&amp;OutputTable[[#This Row],[Type]]&amp;OutputTable[[#This Row],[Source]]</f>
        <v>Unnamed ProjectEntity 1.NumberInNumber InEntity</v>
      </c>
      <c r="J16">
        <f t="array" ref="J16">MAX(IF((ProjectInfoTable[ProjectName]=OutputTable[[#This Row],[ProjectName]]),(ProjectInfoTable[ProjectName]=OutputTable[[#This Row],[ProjectName]])*ProjectInfoTable[NumberOfReplications]))</f>
        <v>1</v>
      </c>
      <c r="K16">
        <f t="array" ref="K16">IFERROR(AVERAGE(IF((OutputTable[GroupByKey]=OutputTable[[#This Row],[GroupByKey]]),(OutputTable[GroupByKey]=OutputTable[[#This Row],[GroupByKey]])*OutputTable[RecordedValue])),0)</f>
        <v>140</v>
      </c>
      <c r="L16" s="3">
        <f t="array" ref="L16">IFERROR(_xlfn.STDEV.S(IF((OutputTable[GroupByKey]=OutputTable[[#This Row],[GroupByKey]]),(OutputTable[GroupByKey]=OutputTable[[#This Row],[GroupByKey]])*OutputTable[RecordedValue])),0)</f>
        <v>0</v>
      </c>
      <c r="M16" s="3">
        <f t="array" ref="M16">MAX(IF((ProjectInfoTable[ProjectName]=OutputTable[[#This Row],[ProjectName]]),(ProjectInfoTable[ProjectName]=OutputTable[[#This Row],[ProjectName]])*ProjectInfoTable[ConfidenceInterval]))</f>
        <v>0.95</v>
      </c>
      <c r="N1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s="3">
        <f t="array" ref="O16">MIN(IF((OutputTable[GroupByKey]=OutputTable[[#This Row],[GroupByKey]]),(OutputTable[GroupByKey]=OutputTable[[#This Row],[GroupByKey]])*OutputTable[RecordedValue]))</f>
        <v>140</v>
      </c>
      <c r="P16" s="3">
        <f t="array" ref="P16">MAX(IF((OutputTable[GroupByKey]=OutputTable[[#This Row],[GroupByKey]]),(OutputTable[GroupByKey]=OutputTable[[#This Row],[GroupByKey]])*OutputTable[RecordedValue]))</f>
        <v>140</v>
      </c>
    </row>
    <row r="17" spans="1:16" x14ac:dyDescent="0.25">
      <c r="A17" t="s">
        <v>67</v>
      </c>
      <c r="B17" t="s">
        <v>70</v>
      </c>
      <c r="C17">
        <v>1</v>
      </c>
      <c r="D17" t="s">
        <v>126</v>
      </c>
      <c r="E17" t="s">
        <v>110</v>
      </c>
      <c r="F17" t="s">
        <v>77</v>
      </c>
      <c r="G17">
        <v>140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1.NumberOutNumber OutEntity</v>
      </c>
      <c r="J17">
        <f t="array" ref="J17">MAX(IF((ProjectInfoTable[ProjectName]=OutputTable[[#This Row],[ProjectName]]),(ProjectInfoTable[ProjectName]=OutputTable[[#This Row],[ProjectName]])*ProjectInfoTable[NumberOfReplications]))</f>
        <v>1</v>
      </c>
      <c r="K17">
        <f t="array" ref="K17">IFERROR(AVERAGE(IF((OutputTable[GroupByKey]=OutputTable[[#This Row],[GroupByKey]]),(OutputTable[GroupByKey]=OutputTable[[#This Row],[GroupByKey]])*OutputTable[RecordedValue])),0)</f>
        <v>140</v>
      </c>
      <c r="L17" s="3">
        <f t="array" ref="L17">IFERROR(_xlfn.STDEV.S(IF((OutputTable[GroupByKey]=OutputTable[[#This Row],[GroupByKey]]),(OutputTable[GroupByKey]=OutputTable[[#This Row],[GroupByKey]])*OutputTable[RecordedValue])),0)</f>
        <v>0</v>
      </c>
      <c r="M17" s="3">
        <f t="array" ref="M17">MAX(IF((ProjectInfoTable[ProjectName]=OutputTable[[#This Row],[ProjectName]]),(ProjectInfoTable[ProjectName]=OutputTable[[#This Row],[ProjectName]])*ProjectInfoTable[ConfidenceInterval]))</f>
        <v>0.95</v>
      </c>
      <c r="N1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s="3">
        <f t="array" ref="O17">MIN(IF((OutputTable[GroupByKey]=OutputTable[[#This Row],[GroupByKey]]),(OutputTable[GroupByKey]=OutputTable[[#This Row],[GroupByKey]])*OutputTable[RecordedValue]))</f>
        <v>140</v>
      </c>
      <c r="P17" s="3">
        <f t="array" ref="P17">MAX(IF((OutputTable[GroupByKey]=OutputTable[[#This Row],[GroupByKey]]),(OutputTable[GroupByKey]=OutputTable[[#This Row],[GroupByKey]])*OutputTable[RecordedValue]))</f>
        <v>140</v>
      </c>
    </row>
    <row r="18" spans="1:16" x14ac:dyDescent="0.25">
      <c r="A18" t="s">
        <v>67</v>
      </c>
      <c r="B18" t="s">
        <v>70</v>
      </c>
      <c r="C18">
        <v>1</v>
      </c>
      <c r="D18" t="s">
        <v>127</v>
      </c>
      <c r="E18" t="s">
        <v>108</v>
      </c>
      <c r="F18" t="s">
        <v>77</v>
      </c>
      <c r="G18">
        <v>0</v>
      </c>
      <c r="H18">
        <v>0</v>
      </c>
      <c r="I18" t="str">
        <f>OutputTable[[#This Row],[ProjectName]]&amp;OutputTable[[#This Row],[Name]]&amp;OutputTable[[#This Row],[Type]]&amp;OutputTable[[#This Row],[Source]]</f>
        <v>Unnamed ProjectHarry Styles.NumberInNumber InEntity</v>
      </c>
      <c r="J18">
        <f t="array" ref="J18">MAX(IF((ProjectInfoTable[ProjectName]=OutputTable[[#This Row],[ProjectName]]),(ProjectInfoTable[ProjectName]=OutputTable[[#This Row],[ProjectName]])*ProjectInfoTable[NumberOfReplications]))</f>
        <v>1</v>
      </c>
      <c r="K18">
        <f t="array" ref="K18">IFERROR(AVERAGE(IF((OutputTable[GroupByKey]=OutputTable[[#This Row],[GroupByKey]]),(OutputTable[GroupByKey]=OutputTable[[#This Row],[GroupByKey]])*OutputTable[RecordedValue])),0)</f>
        <v>0</v>
      </c>
      <c r="L18" s="3">
        <f t="array" ref="L18">IFERROR(_xlfn.STDEV.S(IF((OutputTable[GroupByKey]=OutputTable[[#This Row],[GroupByKey]]),(OutputTable[GroupByKey]=OutputTable[[#This Row],[GroupByKey]])*OutputTable[RecordedValue])),0)</f>
        <v>0</v>
      </c>
      <c r="M18" s="3">
        <f t="array" ref="M18">MAX(IF((ProjectInfoTable[ProjectName]=OutputTable[[#This Row],[ProjectName]]),(ProjectInfoTable[ProjectName]=OutputTable[[#This Row],[ProjectName]])*ProjectInfoTable[ConfidenceInterval]))</f>
        <v>0.95</v>
      </c>
      <c r="N1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s="3">
        <f t="array" ref="O18">MIN(IF((OutputTable[GroupByKey]=OutputTable[[#This Row],[GroupByKey]]),(OutputTable[GroupByKey]=OutputTable[[#This Row],[GroupByKey]])*OutputTable[RecordedValue]))</f>
        <v>0</v>
      </c>
      <c r="P18" s="3">
        <f t="array" ref="P18">MAX(IF((OutputTable[GroupByKey]=OutputTable[[#This Row],[GroupByKey]]),(OutputTable[GroupByKey]=OutputTable[[#This Row],[GroupByKey]])*OutputTable[RecordedValue]))</f>
        <v>0</v>
      </c>
    </row>
    <row r="19" spans="1:16" x14ac:dyDescent="0.25">
      <c r="A19" t="s">
        <v>67</v>
      </c>
      <c r="B19" t="s">
        <v>70</v>
      </c>
      <c r="C19">
        <v>1</v>
      </c>
      <c r="D19" t="s">
        <v>128</v>
      </c>
      <c r="E19" t="s">
        <v>110</v>
      </c>
      <c r="F19" t="s">
        <v>77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Unnamed ProjectHarry Styles.NumberOutNumber OutEntity</v>
      </c>
      <c r="J19">
        <f t="array" ref="J19">MAX(IF((ProjectInfoTable[ProjectName]=OutputTable[[#This Row],[ProjectName]]),(ProjectInfoTable[ProjectName]=OutputTable[[#This Row],[ProjectName]])*ProjectInfoTable[NumberOfReplications]))</f>
        <v>1</v>
      </c>
      <c r="K19">
        <f t="array" ref="K19">IFERROR(AVERAGE(IF((OutputTable[GroupByKey]=OutputTable[[#This Row],[GroupByKey]]),(OutputTable[GroupByKey]=OutputTable[[#This Row],[GroupByKey]])*OutputTable[RecordedValue])),0)</f>
        <v>0</v>
      </c>
      <c r="L19" s="3">
        <f t="array" ref="L19">IFERROR(_xlfn.STDEV.S(IF((OutputTable[GroupByKey]=OutputTable[[#This Row],[GroupByKey]]),(OutputTable[GroupByKey]=OutputTable[[#This Row],[GroupByKey]])*OutputTable[RecordedValue])),0)</f>
        <v>0</v>
      </c>
      <c r="M19" s="3">
        <f t="array" ref="M19">MAX(IF((ProjectInfoTable[ProjectName]=OutputTable[[#This Row],[ProjectName]]),(ProjectInfoTable[ProjectName]=OutputTable[[#This Row],[ProjectName]])*ProjectInfoTable[ConfidenceInterval]))</f>
        <v>0.95</v>
      </c>
      <c r="N1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s="3">
        <f t="array" ref="O19">MIN(IF((OutputTable[GroupByKey]=OutputTable[[#This Row],[GroupByKey]]),(OutputTable[GroupByKey]=OutputTable[[#This Row],[GroupByKey]])*OutputTable[RecordedValue]))</f>
        <v>0</v>
      </c>
      <c r="P19" s="3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67</v>
      </c>
      <c r="B20" t="s">
        <v>70</v>
      </c>
      <c r="C20">
        <v>1</v>
      </c>
      <c r="D20" t="s">
        <v>129</v>
      </c>
      <c r="E20" t="s">
        <v>108</v>
      </c>
      <c r="F20" t="s">
        <v>77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Unnamed ProjectImran Khan.NumberInNumber InEntity</v>
      </c>
      <c r="J20">
        <f t="array" ref="J20">MAX(IF((ProjectInfoTable[ProjectName]=OutputTable[[#This Row],[ProjectName]]),(ProjectInfoTable[ProjectName]=OutputTable[[#This Row],[ProjectName]])*ProjectInfoTable[NumberOfReplications]))</f>
        <v>1</v>
      </c>
      <c r="K20">
        <f t="array" ref="K20">IFERROR(AVERAGE(IF((OutputTable[GroupByKey]=OutputTable[[#This Row],[GroupByKey]]),(OutputTable[GroupByKey]=OutputTable[[#This Row],[GroupByKey]])*OutputTable[RecordedValue])),0)</f>
        <v>0</v>
      </c>
      <c r="L20" s="3">
        <f t="array" ref="L20">IFERROR(_xlfn.STDEV.S(IF((OutputTable[GroupByKey]=OutputTable[[#This Row],[GroupByKey]]),(OutputTable[GroupByKey]=OutputTable[[#This Row],[GroupByKey]])*OutputTable[RecordedValue])),0)</f>
        <v>0</v>
      </c>
      <c r="M20" s="3">
        <f t="array" ref="M20">MAX(IF((ProjectInfoTable[ProjectName]=OutputTable[[#This Row],[ProjectName]]),(ProjectInfoTable[ProjectName]=OutputTable[[#This Row],[ProjectName]])*ProjectInfoTable[ConfidenceInterval]))</f>
        <v>0.95</v>
      </c>
      <c r="N2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s="3">
        <f t="array" ref="O20">MIN(IF((OutputTable[GroupByKey]=OutputTable[[#This Row],[GroupByKey]]),(OutputTable[GroupByKey]=OutputTable[[#This Row],[GroupByKey]])*OutputTable[RecordedValue]))</f>
        <v>0</v>
      </c>
      <c r="P20" s="3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25">
      <c r="A21" t="s">
        <v>67</v>
      </c>
      <c r="B21" t="s">
        <v>70</v>
      </c>
      <c r="C21">
        <v>1</v>
      </c>
      <c r="D21" t="s">
        <v>130</v>
      </c>
      <c r="E21" t="s">
        <v>110</v>
      </c>
      <c r="F21" t="s">
        <v>77</v>
      </c>
      <c r="G21">
        <v>0</v>
      </c>
      <c r="H21">
        <v>0</v>
      </c>
      <c r="I21" t="str">
        <f>OutputTable[[#This Row],[ProjectName]]&amp;OutputTable[[#This Row],[Name]]&amp;OutputTable[[#This Row],[Type]]&amp;OutputTable[[#This Row],[Source]]</f>
        <v>Unnamed ProjectImran Khan.NumberOutNumber OutEntity</v>
      </c>
      <c r="J21">
        <f t="array" ref="J21">MAX(IF((ProjectInfoTable[ProjectName]=OutputTable[[#This Row],[ProjectName]]),(ProjectInfoTable[ProjectName]=OutputTable[[#This Row],[ProjectName]])*ProjectInfoTable[NumberOfReplications]))</f>
        <v>1</v>
      </c>
      <c r="K21">
        <f t="array" ref="K21">IFERROR(AVERAGE(IF((OutputTable[GroupByKey]=OutputTable[[#This Row],[GroupByKey]]),(OutputTable[GroupByKey]=OutputTable[[#This Row],[GroupByKey]])*OutputTable[RecordedValue])),0)</f>
        <v>0</v>
      </c>
      <c r="L21" s="3">
        <f t="array" ref="L21">IFERROR(_xlfn.STDEV.S(IF((OutputTable[GroupByKey]=OutputTable[[#This Row],[GroupByKey]]),(OutputTable[GroupByKey]=OutputTable[[#This Row],[GroupByKey]])*OutputTable[RecordedValue])),0)</f>
        <v>0</v>
      </c>
      <c r="M21" s="3">
        <f t="array" ref="M21">MAX(IF((ProjectInfoTable[ProjectName]=OutputTable[[#This Row],[ProjectName]]),(ProjectInfoTable[ProjectName]=OutputTable[[#This Row],[ProjectName]])*ProjectInfoTable[ConfidenceInterval]))</f>
        <v>0.95</v>
      </c>
      <c r="N2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s="3">
        <f t="array" ref="O21">MIN(IF((OutputTable[GroupByKey]=OutputTable[[#This Row],[GroupByKey]]),(OutputTable[GroupByKey]=OutputTable[[#This Row],[GroupByKey]])*OutputTable[RecordedValue]))</f>
        <v>0</v>
      </c>
      <c r="P21" s="3">
        <f t="array" ref="P21">MAX(IF((OutputTable[GroupByKey]=OutputTable[[#This Row],[GroupByKey]]),(OutputTable[GroupByKey]=OutputTable[[#This Row],[GroupByKey]])*OutputTable[RecordedValue]))</f>
        <v>0</v>
      </c>
    </row>
    <row r="22" spans="1:16" x14ac:dyDescent="0.25">
      <c r="A22" t="s">
        <v>67</v>
      </c>
      <c r="B22" t="s">
        <v>70</v>
      </c>
      <c r="C22">
        <v>1</v>
      </c>
      <c r="D22" t="s">
        <v>131</v>
      </c>
      <c r="E22" t="s">
        <v>108</v>
      </c>
      <c r="F22" t="s">
        <v>77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Unnamed ProjectKaifi Khalil.NumberInNumber InEntity</v>
      </c>
      <c r="J22">
        <f t="array" ref="J22">MAX(IF((ProjectInfoTable[ProjectName]=OutputTable[[#This Row],[ProjectName]]),(ProjectInfoTable[ProjectName]=OutputTable[[#This Row],[ProjectName]])*ProjectInfoTable[NumberOfReplications]))</f>
        <v>1</v>
      </c>
      <c r="K22">
        <f t="array" ref="K22">IFERROR(AVERAGE(IF((OutputTable[GroupByKey]=OutputTable[[#This Row],[GroupByKey]]),(OutputTable[GroupByKey]=OutputTable[[#This Row],[GroupByKey]])*OutputTable[RecordedValue])),0)</f>
        <v>0</v>
      </c>
      <c r="L22" s="3">
        <f t="array" ref="L22">IFERROR(_xlfn.STDEV.S(IF((OutputTable[GroupByKey]=OutputTable[[#This Row],[GroupByKey]]),(OutputTable[GroupByKey]=OutputTable[[#This Row],[GroupByKey]])*OutputTable[RecordedValue])),0)</f>
        <v>0</v>
      </c>
      <c r="M22" s="3">
        <f t="array" ref="M22">MAX(IF((ProjectInfoTable[ProjectName]=OutputTable[[#This Row],[ProjectName]]),(ProjectInfoTable[ProjectName]=OutputTable[[#This Row],[ProjectName]])*ProjectInfoTable[ConfidenceInterval]))</f>
        <v>0.95</v>
      </c>
      <c r="N2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s="3">
        <f t="array" ref="O22">MIN(IF((OutputTable[GroupByKey]=OutputTable[[#This Row],[GroupByKey]]),(OutputTable[GroupByKey]=OutputTable[[#This Row],[GroupByKey]])*OutputTable[RecordedValue]))</f>
        <v>0</v>
      </c>
      <c r="P22" s="3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67</v>
      </c>
      <c r="B23" t="s">
        <v>70</v>
      </c>
      <c r="C23">
        <v>1</v>
      </c>
      <c r="D23" t="s">
        <v>132</v>
      </c>
      <c r="E23" t="s">
        <v>110</v>
      </c>
      <c r="F23" t="s">
        <v>77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Unnamed ProjectKaifi Khalil.NumberOutNumber OutEntity</v>
      </c>
      <c r="J23">
        <f t="array" ref="J23">MAX(IF((ProjectInfoTable[ProjectName]=OutputTable[[#This Row],[ProjectName]]),(ProjectInfoTable[ProjectName]=OutputTable[[#This Row],[ProjectName]])*ProjectInfoTable[NumberOfReplications]))</f>
        <v>1</v>
      </c>
      <c r="K23">
        <f t="array" ref="K23">IFERROR(AVERAGE(IF((OutputTable[GroupByKey]=OutputTable[[#This Row],[GroupByKey]]),(OutputTable[GroupByKey]=OutputTable[[#This Row],[GroupByKey]])*OutputTable[RecordedValue])),0)</f>
        <v>0</v>
      </c>
      <c r="L23" s="3">
        <f t="array" ref="L23">IFERROR(_xlfn.STDEV.S(IF((OutputTable[GroupByKey]=OutputTable[[#This Row],[GroupByKey]]),(OutputTable[GroupByKey]=OutputTable[[#This Row],[GroupByKey]])*OutputTable[RecordedValue])),0)</f>
        <v>0</v>
      </c>
      <c r="M23" s="3">
        <f t="array" ref="M23">MAX(IF((ProjectInfoTable[ProjectName]=OutputTable[[#This Row],[ProjectName]]),(ProjectInfoTable[ProjectName]=OutputTable[[#This Row],[ProjectName]])*ProjectInfoTable[ConfidenceInterval]))</f>
        <v>0.95</v>
      </c>
      <c r="N2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s="3">
        <f t="array" ref="O23">MIN(IF((OutputTable[GroupByKey]=OutputTable[[#This Row],[GroupByKey]]),(OutputTable[GroupByKey]=OutputTable[[#This Row],[GroupByKey]])*OutputTable[RecordedValue]))</f>
        <v>0</v>
      </c>
      <c r="P23" s="3">
        <f t="array" ref="P23">MAX(IF((OutputTable[GroupByKey]=OutputTable[[#This Row],[GroupByKey]]),(OutputTable[GroupByKey]=OutputTable[[#This Row],[GroupByKey]])*OutputTable[RecordedValue]))</f>
        <v>0</v>
      </c>
    </row>
    <row r="24" spans="1:16" x14ac:dyDescent="0.25">
      <c r="A24" t="s">
        <v>67</v>
      </c>
      <c r="B24" t="s">
        <v>70</v>
      </c>
      <c r="C24">
        <v>1</v>
      </c>
      <c r="D24" t="s">
        <v>133</v>
      </c>
      <c r="E24" t="s">
        <v>114</v>
      </c>
      <c r="F24" t="s">
        <v>93</v>
      </c>
      <c r="G24">
        <v>92</v>
      </c>
      <c r="H24">
        <v>0</v>
      </c>
      <c r="I2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24">
        <f t="array" ref="J24">MAX(IF((ProjectInfoTable[ProjectName]=OutputTable[[#This Row],[ProjectName]]),(ProjectInfoTable[ProjectName]=OutputTable[[#This Row],[ProjectName]])*ProjectInfoTable[NumberOfReplications]))</f>
        <v>1</v>
      </c>
      <c r="K24">
        <f t="array" ref="K24">IFERROR(AVERAGE(IF((OutputTable[GroupByKey]=OutputTable[[#This Row],[GroupByKey]]),(OutputTable[GroupByKey]=OutputTable[[#This Row],[GroupByKey]])*OutputTable[RecordedValue])),0)</f>
        <v>92</v>
      </c>
      <c r="L24" s="3">
        <f t="array" ref="L24">IFERROR(_xlfn.STDEV.S(IF((OutputTable[GroupByKey]=OutputTable[[#This Row],[GroupByKey]]),(OutputTable[GroupByKey]=OutputTable[[#This Row],[GroupByKey]])*OutputTable[RecordedValue])),0)</f>
        <v>0</v>
      </c>
      <c r="M24" s="3">
        <f t="array" ref="M24">MAX(IF((ProjectInfoTable[ProjectName]=OutputTable[[#This Row],[ProjectName]]),(ProjectInfoTable[ProjectName]=OutputTable[[#This Row],[ProjectName]])*ProjectInfoTable[ConfidenceInterval]))</f>
        <v>0.95</v>
      </c>
      <c r="N2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s="3">
        <f t="array" ref="O24">MIN(IF((OutputTable[GroupByKey]=OutputTable[[#This Row],[GroupByKey]]),(OutputTable[GroupByKey]=OutputTable[[#This Row],[GroupByKey]])*OutputTable[RecordedValue]))</f>
        <v>92</v>
      </c>
      <c r="P24" s="3">
        <f t="array" ref="P24">MAX(IF((OutputTable[GroupByKey]=OutputTable[[#This Row],[GroupByKey]]),(OutputTable[GroupByKey]=OutputTable[[#This Row],[GroupByKey]])*OutputTable[RecordedValue]))</f>
        <v>92</v>
      </c>
    </row>
    <row r="25" spans="1:16" x14ac:dyDescent="0.25">
      <c r="A25" t="s">
        <v>67</v>
      </c>
      <c r="B25" t="s">
        <v>70</v>
      </c>
      <c r="C25">
        <v>1</v>
      </c>
      <c r="D25" t="s">
        <v>134</v>
      </c>
      <c r="E25" t="s">
        <v>116</v>
      </c>
      <c r="F25" t="s">
        <v>93</v>
      </c>
      <c r="G25">
        <v>0.43063649084561101</v>
      </c>
      <c r="H25">
        <v>0</v>
      </c>
      <c r="I2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5">
        <f t="array" ref="J25">MAX(IF((ProjectInfoTable[ProjectName]=OutputTable[[#This Row],[ProjectName]]),(ProjectInfoTable[ProjectName]=OutputTable[[#This Row],[ProjectName]])*ProjectInfoTable[NumberOfReplications]))</f>
        <v>1</v>
      </c>
      <c r="K25">
        <f t="array" ref="K25">IFERROR(AVERAGE(IF((OutputTable[GroupByKey]=OutputTable[[#This Row],[GroupByKey]]),(OutputTable[GroupByKey]=OutputTable[[#This Row],[GroupByKey]])*OutputTable[RecordedValue])),0)</f>
        <v>0.43063649084561101</v>
      </c>
      <c r="L25" s="3">
        <f t="array" ref="L25">IFERROR(_xlfn.STDEV.S(IF((OutputTable[GroupByKey]=OutputTable[[#This Row],[GroupByKey]]),(OutputTable[GroupByKey]=OutputTable[[#This Row],[GroupByKey]])*OutputTable[RecordedValue])),0)</f>
        <v>0</v>
      </c>
      <c r="M25" s="3">
        <f t="array" ref="M25">MAX(IF((ProjectInfoTable[ProjectName]=OutputTable[[#This Row],[ProjectName]]),(ProjectInfoTable[ProjectName]=OutputTable[[#This Row],[ProjectName]])*ProjectInfoTable[ConfidenceInterval]))</f>
        <v>0.95</v>
      </c>
      <c r="N2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s="3">
        <f t="array" ref="O25">MIN(IF((OutputTable[GroupByKey]=OutputTable[[#This Row],[GroupByKey]]),(OutputTable[GroupByKey]=OutputTable[[#This Row],[GroupByKey]])*OutputTable[RecordedValue]))</f>
        <v>0.43063649084561101</v>
      </c>
      <c r="P25" s="3">
        <f t="array" ref="P25">MAX(IF((OutputTable[GroupByKey]=OutputTable[[#This Row],[GroupByKey]]),(OutputTable[GroupByKey]=OutputTable[[#This Row],[GroupByKey]])*OutputTable[RecordedValue]))</f>
        <v>0.43063649084561101</v>
      </c>
    </row>
    <row r="26" spans="1:16" x14ac:dyDescent="0.25">
      <c r="A26" t="s">
        <v>67</v>
      </c>
      <c r="B26" t="s">
        <v>70</v>
      </c>
      <c r="C26">
        <v>1</v>
      </c>
      <c r="D26" t="s">
        <v>135</v>
      </c>
      <c r="E26" t="s">
        <v>110</v>
      </c>
      <c r="F26" t="s">
        <v>136</v>
      </c>
      <c r="G26">
        <v>140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>
        <f t="array" ref="J26">MAX(IF((ProjectInfoTable[ProjectName]=OutputTable[[#This Row],[ProjectName]]),(ProjectInfoTable[ProjectName]=OutputTable[[#This Row],[ProjectName]])*ProjectInfoTable[NumberOfReplications]))</f>
        <v>1</v>
      </c>
      <c r="K26">
        <f t="array" ref="K26">IFERROR(AVERAGE(IF((OutputTable[GroupByKey]=OutputTable[[#This Row],[GroupByKey]]),(OutputTable[GroupByKey]=OutputTable[[#This Row],[GroupByKey]])*OutputTable[RecordedValue])),0)</f>
        <v>140</v>
      </c>
      <c r="L26" s="3">
        <f t="array" ref="L26">IFERROR(_xlfn.STDEV.S(IF((OutputTable[GroupByKey]=OutputTable[[#This Row],[GroupByKey]]),(OutputTable[GroupByKey]=OutputTable[[#This Row],[GroupByKey]])*OutputTable[RecordedValue])),0)</f>
        <v>0</v>
      </c>
      <c r="M26" s="3">
        <f t="array" ref="M26">MAX(IF((ProjectInfoTable[ProjectName]=OutputTable[[#This Row],[ProjectName]]),(ProjectInfoTable[ProjectName]=OutputTable[[#This Row],[ProjectName]])*ProjectInfoTable[ConfidenceInterval]))</f>
        <v>0.95</v>
      </c>
      <c r="N2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s="3">
        <f t="array" ref="O26">MIN(IF((OutputTable[GroupByKey]=OutputTable[[#This Row],[GroupByKey]]),(OutputTable[GroupByKey]=OutputTable[[#This Row],[GroupByKey]])*OutputTable[RecordedValue]))</f>
        <v>140</v>
      </c>
      <c r="P26" s="3">
        <f t="array" ref="P26">MAX(IF((OutputTable[GroupByKey]=OutputTable[[#This Row],[GroupByKey]]),(OutputTable[GroupByKey]=OutputTable[[#This Row],[GroupByKey]])*OutputTable[RecordedValue]))</f>
        <v>140</v>
      </c>
    </row>
    <row r="27" spans="1:16" x14ac:dyDescent="0.25">
      <c r="A27" t="s">
        <v>67</v>
      </c>
      <c r="B27" t="s">
        <v>70</v>
      </c>
      <c r="C27">
        <v>1</v>
      </c>
      <c r="D27" t="s">
        <v>137</v>
      </c>
      <c r="E27" t="s">
        <v>108</v>
      </c>
      <c r="F27" t="s">
        <v>77</v>
      </c>
      <c r="G27">
        <v>0</v>
      </c>
      <c r="H27">
        <v>0</v>
      </c>
      <c r="I27" t="str">
        <f>OutputTable[[#This Row],[ProjectName]]&amp;OutputTable[[#This Row],[Name]]&amp;OutputTable[[#This Row],[Type]]&amp;OutputTable[[#This Row],[Source]]</f>
        <v>Unnamed ProjectTalha Anjum.NumberInNumber InEntity</v>
      </c>
      <c r="J27">
        <f t="array" ref="J27">MAX(IF((ProjectInfoTable[ProjectName]=OutputTable[[#This Row],[ProjectName]]),(ProjectInfoTable[ProjectName]=OutputTable[[#This Row],[ProjectName]])*ProjectInfoTable[NumberOfReplications]))</f>
        <v>1</v>
      </c>
      <c r="K27">
        <f t="array" ref="K27">IFERROR(AVERAGE(IF((OutputTable[GroupByKey]=OutputTable[[#This Row],[GroupByKey]]),(OutputTable[GroupByKey]=OutputTable[[#This Row],[GroupByKey]])*OutputTable[RecordedValue])),0)</f>
        <v>0</v>
      </c>
      <c r="L27" s="3">
        <f t="array" ref="L27">IFERROR(_xlfn.STDEV.S(IF((OutputTable[GroupByKey]=OutputTable[[#This Row],[GroupByKey]]),(OutputTable[GroupByKey]=OutputTable[[#This Row],[GroupByKey]])*OutputTable[RecordedValue])),0)</f>
        <v>0</v>
      </c>
      <c r="M27" s="3">
        <f t="array" ref="M27">MAX(IF((ProjectInfoTable[ProjectName]=OutputTable[[#This Row],[ProjectName]]),(ProjectInfoTable[ProjectName]=OutputTable[[#This Row],[ProjectName]])*ProjectInfoTable[ConfidenceInterval]))</f>
        <v>0.95</v>
      </c>
      <c r="N2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s="3">
        <f t="array" ref="O27">MIN(IF((OutputTable[GroupByKey]=OutputTable[[#This Row],[GroupByKey]]),(OutputTable[GroupByKey]=OutputTable[[#This Row],[GroupByKey]])*OutputTable[RecordedValue]))</f>
        <v>0</v>
      </c>
      <c r="P27" s="3">
        <f t="array" ref="P27">MAX(IF((OutputTable[GroupByKey]=OutputTable[[#This Row],[GroupByKey]]),(OutputTable[GroupByKey]=OutputTable[[#This Row],[GroupByKey]])*OutputTable[RecordedValue]))</f>
        <v>0</v>
      </c>
    </row>
    <row r="28" spans="1:16" x14ac:dyDescent="0.25">
      <c r="A28" t="s">
        <v>67</v>
      </c>
      <c r="B28" t="s">
        <v>70</v>
      </c>
      <c r="C28">
        <v>1</v>
      </c>
      <c r="D28" t="s">
        <v>138</v>
      </c>
      <c r="E28" t="s">
        <v>110</v>
      </c>
      <c r="F28" t="s">
        <v>77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Unnamed ProjectTalha Anjum.NumberOutNumber OutEntity</v>
      </c>
      <c r="J28">
        <f t="array" ref="J28">MAX(IF((ProjectInfoTable[ProjectName]=OutputTable[[#This Row],[ProjectName]]),(ProjectInfoTable[ProjectName]=OutputTable[[#This Row],[ProjectName]])*ProjectInfoTable[NumberOfReplications]))</f>
        <v>1</v>
      </c>
      <c r="K28">
        <f t="array" ref="K28">IFERROR(AVERAGE(IF((OutputTable[GroupByKey]=OutputTable[[#This Row],[GroupByKey]]),(OutputTable[GroupByKey]=OutputTable[[#This Row],[GroupByKey]])*OutputTable[RecordedValue])),0)</f>
        <v>0</v>
      </c>
      <c r="L28" s="3">
        <f t="array" ref="L28">IFERROR(_xlfn.STDEV.S(IF((OutputTable[GroupByKey]=OutputTable[[#This Row],[GroupByKey]]),(OutputTable[GroupByKey]=OutputTable[[#This Row],[GroupByKey]])*OutputTable[RecordedValue])),0)</f>
        <v>0</v>
      </c>
      <c r="M28" s="3">
        <f t="array" ref="M28">MAX(IF((ProjectInfoTable[ProjectName]=OutputTable[[#This Row],[ProjectName]]),(ProjectInfoTable[ProjectName]=OutputTable[[#This Row],[ProjectName]])*ProjectInfoTable[ConfidenceInterval]))</f>
        <v>0.95</v>
      </c>
      <c r="N2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s="3">
        <f t="array" ref="O28">MIN(IF((OutputTable[GroupByKey]=OutputTable[[#This Row],[GroupByKey]]),(OutputTable[GroupByKey]=OutputTable[[#This Row],[GroupByKey]])*OutputTable[RecordedValue]))</f>
        <v>0</v>
      </c>
      <c r="P28" s="3">
        <f t="array" ref="P28">MAX(IF((OutputTable[GroupByKey]=OutputTable[[#This Row],[GroupByKey]]),(OutputTable[GroupByKey]=OutputTable[[#This Row],[GroupByKey]])*OutputTable[RecordedValue]))</f>
        <v>0</v>
      </c>
    </row>
    <row r="29" spans="1:16" x14ac:dyDescent="0.25">
      <c r="A29" t="s">
        <v>67</v>
      </c>
      <c r="B29" t="s">
        <v>70</v>
      </c>
      <c r="C29">
        <v>1</v>
      </c>
      <c r="D29" t="s">
        <v>139</v>
      </c>
      <c r="E29" t="s">
        <v>108</v>
      </c>
      <c r="F29" t="s">
        <v>77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Unnamed ProjectTalha Yunus.NumberInNumber InEntity</v>
      </c>
      <c r="J29">
        <f t="array" ref="J29">MAX(IF((ProjectInfoTable[ProjectName]=OutputTable[[#This Row],[ProjectName]]),(ProjectInfoTable[ProjectName]=OutputTable[[#This Row],[ProjectName]])*ProjectInfoTable[NumberOfReplications]))</f>
        <v>1</v>
      </c>
      <c r="K29">
        <f t="array" ref="K29">IFERROR(AVERAGE(IF((OutputTable[GroupByKey]=OutputTable[[#This Row],[GroupByKey]]),(OutputTable[GroupByKey]=OutputTable[[#This Row],[GroupByKey]])*OutputTable[RecordedValue])),0)</f>
        <v>0</v>
      </c>
      <c r="L29" s="3">
        <f t="array" ref="L29">IFERROR(_xlfn.STDEV.S(IF((OutputTable[GroupByKey]=OutputTable[[#This Row],[GroupByKey]]),(OutputTable[GroupByKey]=OutputTable[[#This Row],[GroupByKey]])*OutputTable[RecordedValue])),0)</f>
        <v>0</v>
      </c>
      <c r="M29" s="3">
        <f t="array" ref="M29">MAX(IF((ProjectInfoTable[ProjectName]=OutputTable[[#This Row],[ProjectName]]),(ProjectInfoTable[ProjectName]=OutputTable[[#This Row],[ProjectName]])*ProjectInfoTable[ConfidenceInterval]))</f>
        <v>0.95</v>
      </c>
      <c r="N2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9" s="3">
        <f t="array" ref="O29">MIN(IF((OutputTable[GroupByKey]=OutputTable[[#This Row],[GroupByKey]]),(OutputTable[GroupByKey]=OutputTable[[#This Row],[GroupByKey]])*OutputTable[RecordedValue]))</f>
        <v>0</v>
      </c>
      <c r="P29" s="3">
        <f t="array" ref="P29">MAX(IF((OutputTable[GroupByKey]=OutputTable[[#This Row],[GroupByKey]]),(OutputTable[GroupByKey]=OutputTable[[#This Row],[GroupByKey]])*OutputTable[RecordedValue]))</f>
        <v>0</v>
      </c>
    </row>
    <row r="30" spans="1:16" x14ac:dyDescent="0.25">
      <c r="A30" t="s">
        <v>67</v>
      </c>
      <c r="B30" t="s">
        <v>70</v>
      </c>
      <c r="C30">
        <v>1</v>
      </c>
      <c r="D30" t="s">
        <v>140</v>
      </c>
      <c r="E30" t="s">
        <v>110</v>
      </c>
      <c r="F30" t="s">
        <v>77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Unnamed ProjectTalha Yunus.NumberOutNumber OutEntity</v>
      </c>
      <c r="J30">
        <f t="array" ref="J30">MAX(IF((ProjectInfoTable[ProjectName]=OutputTable[[#This Row],[ProjectName]]),(ProjectInfoTable[ProjectName]=OutputTable[[#This Row],[ProjectName]])*ProjectInfoTable[NumberOfReplications]))</f>
        <v>1</v>
      </c>
      <c r="K30">
        <f t="array" ref="K30">IFERROR(AVERAGE(IF((OutputTable[GroupByKey]=OutputTable[[#This Row],[GroupByKey]]),(OutputTable[GroupByKey]=OutputTable[[#This Row],[GroupByKey]])*OutputTable[RecordedValue])),0)</f>
        <v>0</v>
      </c>
      <c r="L30" s="3">
        <f t="array" ref="L30">IFERROR(_xlfn.STDEV.S(IF((OutputTable[GroupByKey]=OutputTable[[#This Row],[GroupByKey]]),(OutputTable[GroupByKey]=OutputTable[[#This Row],[GroupByKey]])*OutputTable[RecordedValue])),0)</f>
        <v>0</v>
      </c>
      <c r="M30" s="3">
        <f t="array" ref="M30">MAX(IF((ProjectInfoTable[ProjectName]=OutputTable[[#This Row],[ProjectName]]),(ProjectInfoTable[ProjectName]=OutputTable[[#This Row],[ProjectName]])*ProjectInfoTable[ConfidenceInterval]))</f>
        <v>0.95</v>
      </c>
      <c r="N3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0" s="3">
        <f t="array" ref="O30">MIN(IF((OutputTable[GroupByKey]=OutputTable[[#This Row],[GroupByKey]]),(OutputTable[GroupByKey]=OutputTable[[#This Row],[GroupByKey]])*OutputTable[RecordedValue]))</f>
        <v>0</v>
      </c>
      <c r="P30" s="3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67</v>
      </c>
      <c r="B31" t="s">
        <v>70</v>
      </c>
      <c r="C31">
        <v>1</v>
      </c>
      <c r="D31" t="s">
        <v>141</v>
      </c>
      <c r="E31" t="s">
        <v>114</v>
      </c>
      <c r="F31" t="s">
        <v>93</v>
      </c>
      <c r="G31">
        <v>140</v>
      </c>
      <c r="H31">
        <v>0</v>
      </c>
      <c r="I31" t="str">
        <f>OutputTable[[#This Row],[ProjectName]]&amp;OutputTable[[#This Row],[Name]]&amp;OutputTable[[#This Row],[Type]]&amp;OutputTable[[#This Row],[Source]]</f>
        <v>Unnamed Projectcounter.NumberSeizedTotal Number SeizedResource</v>
      </c>
      <c r="J31">
        <f t="array" ref="J31">MAX(IF((ProjectInfoTable[ProjectName]=OutputTable[[#This Row],[ProjectName]]),(ProjectInfoTable[ProjectName]=OutputTable[[#This Row],[ProjectName]])*ProjectInfoTable[NumberOfReplications]))</f>
        <v>1</v>
      </c>
      <c r="K31">
        <f t="array" ref="K31">IFERROR(AVERAGE(IF((OutputTable[GroupByKey]=OutputTable[[#This Row],[GroupByKey]]),(OutputTable[GroupByKey]=OutputTable[[#This Row],[GroupByKey]])*OutputTable[RecordedValue])),0)</f>
        <v>140</v>
      </c>
      <c r="L31" s="3">
        <f t="array" ref="L31">IFERROR(_xlfn.STDEV.S(IF((OutputTable[GroupByKey]=OutputTable[[#This Row],[GroupByKey]]),(OutputTable[GroupByKey]=OutputTable[[#This Row],[GroupByKey]])*OutputTable[RecordedValue])),0)</f>
        <v>0</v>
      </c>
      <c r="M31" s="3">
        <f t="array" ref="M31">MAX(IF((ProjectInfoTable[ProjectName]=OutputTable[[#This Row],[ProjectName]]),(ProjectInfoTable[ProjectName]=OutputTable[[#This Row],[ProjectName]])*ProjectInfoTable[ConfidenceInterval]))</f>
        <v>0.95</v>
      </c>
      <c r="N3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1" s="3">
        <f t="array" ref="O31">MIN(IF((OutputTable[GroupByKey]=OutputTable[[#This Row],[GroupByKey]]),(OutputTable[GroupByKey]=OutputTable[[#This Row],[GroupByKey]])*OutputTable[RecordedValue]))</f>
        <v>140</v>
      </c>
      <c r="P31" s="3">
        <f t="array" ref="P31">MAX(IF((OutputTable[GroupByKey]=OutputTable[[#This Row],[GroupByKey]]),(OutputTable[GroupByKey]=OutputTable[[#This Row],[GroupByKey]])*OutputTable[RecordedValue]))</f>
        <v>140</v>
      </c>
    </row>
    <row r="32" spans="1:16" x14ac:dyDescent="0.25">
      <c r="A32" t="s">
        <v>67</v>
      </c>
      <c r="B32" t="s">
        <v>70</v>
      </c>
      <c r="C32">
        <v>1</v>
      </c>
      <c r="D32" t="s">
        <v>142</v>
      </c>
      <c r="E32" t="s">
        <v>116</v>
      </c>
      <c r="F32" t="s">
        <v>93</v>
      </c>
      <c r="G32">
        <v>0.12403376359889</v>
      </c>
      <c r="H32">
        <v>0</v>
      </c>
      <c r="I32" s="3" t="str">
        <f>OutputTable[[#This Row],[ProjectName]]&amp;OutputTable[[#This Row],[Name]]&amp;OutputTable[[#This Row],[Type]]&amp;OutputTable[[#This Row],[Source]]</f>
        <v>Unnamed Projectcounter.ScheduledUtilizationScheduled UtilizationResource</v>
      </c>
      <c r="J32" s="3">
        <f t="array" ref="J32">MAX(IF((ProjectInfoTable[ProjectName]=OutputTable[[#This Row],[ProjectName]]),(ProjectInfoTable[ProjectName]=OutputTable[[#This Row],[ProjectName]])*ProjectInfoTable[NumberOfReplications]))</f>
        <v>1</v>
      </c>
      <c r="K32" s="3">
        <f t="array" ref="K32">IFERROR(AVERAGE(IF((OutputTable[GroupByKey]=OutputTable[[#This Row],[GroupByKey]]),(OutputTable[GroupByKey]=OutputTable[[#This Row],[GroupByKey]])*OutputTable[RecordedValue])),0)</f>
        <v>0.12403376359889</v>
      </c>
      <c r="L32" s="3">
        <f t="array" ref="L32">IFERROR(_xlfn.STDEV.S(IF((OutputTable[GroupByKey]=OutputTable[[#This Row],[GroupByKey]]),(OutputTable[GroupByKey]=OutputTable[[#This Row],[GroupByKey]])*OutputTable[RecordedValue])),0)</f>
        <v>0</v>
      </c>
      <c r="M32" s="3">
        <f t="array" ref="M32">MAX(IF((ProjectInfoTable[ProjectName]=OutputTable[[#This Row],[ProjectName]]),(ProjectInfoTable[ProjectName]=OutputTable[[#This Row],[ProjectName]])*ProjectInfoTable[ConfidenceInterval]))</f>
        <v>0.95</v>
      </c>
      <c r="N3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2" s="3">
        <f t="array" ref="O32">MIN(IF((OutputTable[GroupByKey]=OutputTable[[#This Row],[GroupByKey]]),(OutputTable[GroupByKey]=OutputTable[[#This Row],[GroupByKey]])*OutputTable[RecordedValue]))</f>
        <v>0.12403376359889</v>
      </c>
      <c r="P32" s="3">
        <f t="array" ref="P32">MAX(IF((OutputTable[GroupByKey]=OutputTable[[#This Row],[GroupByKey]]),(OutputTable[GroupByKey]=OutputTable[[#This Row],[GroupByKey]])*OutputTable[RecordedValue]))</f>
        <v>0.12403376359889</v>
      </c>
    </row>
  </sheetData>
  <phoneticPr fontId="2" type="noConversion"/>
  <conditionalFormatting sqref="I2:P32">
    <cfRule type="expression" dxfId="4" priority="2">
      <formula>MOD(ROW(),2)=0</formula>
    </cfRule>
  </conditionalFormatting>
  <conditionalFormatting sqref="N2:N32">
    <cfRule type="expression" dxfId="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5"/>
  <sheetViews>
    <sheetView workbookViewId="0">
      <selection activeCell="A2" sqref="A2"/>
    </sheetView>
  </sheetViews>
  <sheetFormatPr defaultRowHeight="15" x14ac:dyDescent="0.25"/>
  <cols>
    <col min="1" max="1" width="14.85546875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23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s="3" t="s">
        <v>48</v>
      </c>
      <c r="O1" s="3" t="s">
        <v>60</v>
      </c>
      <c r="P1" s="3" t="s">
        <v>29</v>
      </c>
      <c r="Q1" s="3" t="s">
        <v>34</v>
      </c>
      <c r="R1" s="3"/>
      <c r="S1" s="3"/>
      <c r="T1" s="3"/>
      <c r="U1" s="3"/>
      <c r="V1" s="3"/>
      <c r="W1" s="3"/>
    </row>
    <row r="2" spans="1:23" x14ac:dyDescent="0.25">
      <c r="H2" s="3"/>
      <c r="R2" s="3"/>
      <c r="S2" s="3"/>
      <c r="T2" s="3"/>
      <c r="U2" s="3"/>
      <c r="V2" s="3"/>
      <c r="W2" s="3"/>
    </row>
    <row r="3" spans="1:23" x14ac:dyDescent="0.25">
      <c r="R3" s="3"/>
      <c r="S3" s="3"/>
      <c r="T3" s="3"/>
      <c r="U3" s="3"/>
      <c r="V3" s="3"/>
      <c r="W3" s="3"/>
    </row>
    <row r="4" spans="1:23" x14ac:dyDescent="0.25">
      <c r="R4" s="3"/>
      <c r="S4" s="3"/>
      <c r="T4" s="3"/>
      <c r="U4" s="3"/>
      <c r="V4" s="3"/>
      <c r="W4" s="3"/>
    </row>
    <row r="5" spans="1:23" x14ac:dyDescent="0.25">
      <c r="R5" s="3"/>
      <c r="S5" s="3"/>
      <c r="T5" s="3"/>
      <c r="U5" s="3"/>
      <c r="V5" s="3"/>
      <c r="W5" s="3"/>
    </row>
    <row r="6" spans="1:23" x14ac:dyDescent="0.25">
      <c r="R6" s="3"/>
      <c r="S6" s="3"/>
      <c r="T6" s="3"/>
      <c r="U6" s="3"/>
      <c r="V6" s="3"/>
      <c r="W6" s="3"/>
    </row>
    <row r="7" spans="1:23" x14ac:dyDescent="0.25">
      <c r="R7" s="3"/>
      <c r="S7" s="3"/>
      <c r="T7" s="3"/>
      <c r="U7" s="3"/>
      <c r="V7" s="3"/>
      <c r="W7" s="3"/>
    </row>
    <row r="8" spans="1:23" x14ac:dyDescent="0.25">
      <c r="R8" s="3"/>
      <c r="S8" s="3"/>
      <c r="T8" s="3"/>
      <c r="U8" s="3"/>
      <c r="V8" s="3"/>
      <c r="W8" s="3"/>
    </row>
    <row r="9" spans="1:23" x14ac:dyDescent="0.25">
      <c r="R9" s="3"/>
      <c r="S9" s="3"/>
      <c r="T9" s="3"/>
      <c r="U9" s="3"/>
      <c r="V9" s="3"/>
      <c r="W9" s="3"/>
    </row>
    <row r="10" spans="1:23" x14ac:dyDescent="0.25">
      <c r="R10" s="3"/>
      <c r="S10" s="3"/>
      <c r="T10" s="3"/>
      <c r="U10" s="3"/>
      <c r="V10" s="3"/>
      <c r="W10" s="3"/>
    </row>
    <row r="11" spans="1:23" x14ac:dyDescent="0.25">
      <c r="R11" s="3"/>
      <c r="S11" s="3"/>
      <c r="T11" s="3"/>
      <c r="U11" s="3"/>
      <c r="V11" s="3"/>
      <c r="W11" s="3"/>
    </row>
    <row r="12" spans="1:23" x14ac:dyDescent="0.25">
      <c r="R12" s="3"/>
      <c r="S12" s="3"/>
      <c r="T12" s="3"/>
      <c r="U12" s="3"/>
      <c r="V12" s="3"/>
      <c r="W12" s="3"/>
    </row>
    <row r="13" spans="1:23" x14ac:dyDescent="0.25">
      <c r="R13" s="3"/>
      <c r="S13" s="3"/>
      <c r="T13" s="3"/>
      <c r="U13" s="3"/>
      <c r="V13" s="3"/>
      <c r="W13" s="3"/>
    </row>
    <row r="17" spans="2:23" x14ac:dyDescent="0.25">
      <c r="B17" s="5"/>
      <c r="N17" s="3"/>
      <c r="O17" s="3"/>
      <c r="P17" s="3"/>
      <c r="Q17" s="3"/>
    </row>
    <row r="18" spans="2:23" x14ac:dyDescent="0.25">
      <c r="B18" s="5"/>
    </row>
    <row r="19" spans="2:23" x14ac:dyDescent="0.25">
      <c r="B19" s="5"/>
    </row>
    <row r="20" spans="2:23" x14ac:dyDescent="0.25">
      <c r="B20" s="5"/>
    </row>
    <row r="21" spans="2:23" x14ac:dyDescent="0.25">
      <c r="B21" s="5"/>
    </row>
    <row r="22" spans="2:23" x14ac:dyDescent="0.25">
      <c r="B22" s="5"/>
    </row>
    <row r="23" spans="2:23" x14ac:dyDescent="0.25">
      <c r="B23" s="5"/>
    </row>
    <row r="24" spans="2:23" x14ac:dyDescent="0.25">
      <c r="B24" s="5"/>
    </row>
    <row r="25" spans="2:23" x14ac:dyDescent="0.25">
      <c r="B25" s="5"/>
    </row>
    <row r="26" spans="2:23" x14ac:dyDescent="0.25">
      <c r="B26" s="5"/>
    </row>
    <row r="27" spans="2:23" x14ac:dyDescent="0.25">
      <c r="B27" s="5"/>
    </row>
    <row r="28" spans="2:23" x14ac:dyDescent="0.25">
      <c r="B28" s="5"/>
    </row>
    <row r="29" spans="2:23" x14ac:dyDescent="0.25">
      <c r="B29" s="5"/>
    </row>
    <row r="30" spans="2:23" x14ac:dyDescent="0.25">
      <c r="B30" s="5"/>
    </row>
    <row r="31" spans="2:23" x14ac:dyDescent="0.25">
      <c r="B31" s="5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45" spans="18:23" x14ac:dyDescent="0.25">
      <c r="R45" s="3"/>
      <c r="S45" s="3"/>
      <c r="T45" s="3"/>
      <c r="U45" s="3"/>
      <c r="V45" s="3"/>
      <c r="W45" s="3"/>
    </row>
  </sheetData>
  <phoneticPr fontId="2" type="noConversion"/>
  <conditionalFormatting sqref="L17:Q17 R45:W45 L31:W31 L1:Q2">
    <cfRule type="expression" dxfId="2" priority="3">
      <formula>MOD(ROW(),2)=0</formula>
    </cfRule>
  </conditionalFormatting>
  <conditionalFormatting sqref="H2">
    <cfRule type="expression" dxfId="1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PCS</cp:lastModifiedBy>
  <cp:lastPrinted>2022-03-22T10:33:10Z</cp:lastPrinted>
  <dcterms:created xsi:type="dcterms:W3CDTF">2020-06-29T21:30:31Z</dcterms:created>
  <dcterms:modified xsi:type="dcterms:W3CDTF">2024-01-14T06:43:26Z</dcterms:modified>
</cp:coreProperties>
</file>